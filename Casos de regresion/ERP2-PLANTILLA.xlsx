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ch" sheetId="1" r:id="rId5"/>
    <sheet state="visible" name="Leyenda Speech" sheetId="2" r:id="rId6"/>
    <sheet state="visible" name="Test Case" sheetId="3" r:id="rId7"/>
    <sheet state="visible" name="Test Run Minimos" sheetId="4" r:id="rId8"/>
    <sheet state="visible" name="Test Run" sheetId="5" r:id="rId9"/>
    <sheet state="visible" name="Checklist QA" sheetId="6" r:id="rId10"/>
    <sheet state="visible" name="Regresión ERP2" sheetId="7" r:id="rId11"/>
    <sheet state="hidden" name="Reporte " sheetId="8" r:id="rId12"/>
    <sheet state="visible" name="Regresión ERP1" sheetId="9" r:id="rId13"/>
    <sheet state="visible" name="Regresión Tienda Link" sheetId="10" r:id="rId14"/>
    <sheet state="visible" name="Resumen" sheetId="11" r:id="rId15"/>
    <sheet state="visible" name="Reporte" sheetId="12" r:id="rId16"/>
    <sheet state="visible" name="Configuraciones" sheetId="13" r:id="rId17"/>
    <sheet state="hidden" name="Validacione Front y Back" sheetId="14" r:id="rId18"/>
    <sheet state="hidden" name="Hoja 14" sheetId="15" r:id="rId19"/>
    <sheet state="hidden" name="Criterios de Aceptacion" sheetId="16" r:id="rId20"/>
    <sheet state="hidden" name="PlanningVsPruebas" sheetId="17" r:id="rId21"/>
    <sheet state="hidden" name="Total Test " sheetId="18" r:id="rId22"/>
  </sheets>
  <definedNames>
    <definedName hidden="1" localSheetId="2" name="_xlnm._FilterDatabase">'Test Case'!$A$3:$F$5</definedName>
    <definedName hidden="1" localSheetId="3" name="_xlnm._FilterDatabase">'Test Run Minimos'!$A$1:$H$20</definedName>
    <definedName hidden="1" localSheetId="4" name="_xlnm._FilterDatabase">'Test Run'!$A$1:$Q$81</definedName>
    <definedName hidden="1" localSheetId="17" name="_xlnm._FilterDatabase">'Total Test '!$A$1:$G$4</definedName>
    <definedName hidden="1" localSheetId="2" name="Z_EFFCC731_4C38_4EFC_9B3F_E71CC35B304D_.wvu.FilterData">'Test Case'!$A$3:$F$18</definedName>
    <definedName hidden="1" localSheetId="3" name="Z_EFFCC731_4C38_4EFC_9B3F_E71CC35B304D_.wvu.FilterData">'Test Run Minimos'!$A$1:$H$20</definedName>
    <definedName hidden="1" localSheetId="4" name="Z_EFFCC731_4C38_4EFC_9B3F_E71CC35B304D_.wvu.FilterData">'Test Run'!$A$1:$Q$81</definedName>
    <definedName hidden="1" localSheetId="5" name="Z_EFFCC731_4C38_4EFC_9B3F_E71CC35B304D_.wvu.FilterData">'Checklist QA'!$A$1:$E$148</definedName>
    <definedName hidden="1" localSheetId="2" name="Z_2FF8D759_EFAB_4347_8593_0E948FC0E4E0_.wvu.FilterData">'Test Case'!$A$3:$F$18</definedName>
    <definedName hidden="1" localSheetId="4" name="Z_C06F73FD_FBE6_4E47_84A8_9EE14A662F1F_.wvu.FilterData">'Test Run'!$A$1:$Q$81</definedName>
    <definedName hidden="1" localSheetId="4" name="Z_895AF92A_7E5E_45BC_96C8_C40A9625D4DC_.wvu.FilterData">'Test Run'!$A$1:$Q$81</definedName>
    <definedName hidden="1" localSheetId="4" name="Z_749CF41C_BB59_4077_81FF_9F52BAA6BCB5_.wvu.FilterData">'Test Run'!$A$1:$Q$81</definedName>
    <definedName hidden="1" localSheetId="3" name="Z_DF2F70C7_8866_48E0_951D_0637A9BFC8E6_.wvu.FilterData">'Test Run Minimos'!$A$1:$H$20</definedName>
    <definedName hidden="1" localSheetId="4" name="Z_DF2F70C7_8866_48E0_951D_0637A9BFC8E6_.wvu.FilterData">'Test Run'!$A$1:$Q$81</definedName>
    <definedName hidden="1" localSheetId="5" name="Z_DF2F70C7_8866_48E0_951D_0637A9BFC8E6_.wvu.FilterData">'Checklist QA'!$A$1:$E$148</definedName>
    <definedName hidden="1" localSheetId="4" name="Z_8E66E867_A891_4429_B6C7_0738B0EBDD35_.wvu.FilterData">'Test Run'!$A$1:$Q$81</definedName>
    <definedName hidden="1" localSheetId="4" name="Z_24E66665_CBD8_4873_B77F_7F4B2C0ACB8A_.wvu.FilterData">'Test Run'!$A$1:$Q$81</definedName>
    <definedName hidden="1" localSheetId="2" name="Z_5DF3053E_F225_4014_898E_852EF40825A9_.wvu.FilterData">'Test Case'!$A$3:$F$18</definedName>
    <definedName hidden="1" localSheetId="4" name="Z_5DF3053E_F225_4014_898E_852EF40825A9_.wvu.FilterData">'Test Run'!$A$1:$Q$81</definedName>
    <definedName hidden="1" localSheetId="3" name="Z_E45215E9_CFD8_4C81_8218_503541622618_.wvu.FilterData">'Test Run Minimos'!$A$1:$H$20</definedName>
    <definedName hidden="1" localSheetId="5" name="Z_E45215E9_CFD8_4C81_8218_503541622618_.wvu.FilterData">'Checklist QA'!$A$1:$E$148</definedName>
    <definedName hidden="1" localSheetId="4" name="Z_DDFC2EB7_95C5_477C_8271_D8BCE39DC2D1_.wvu.FilterData">'Test Run'!$A$1:$Q$81</definedName>
  </definedNames>
  <calcPr/>
  <customWorkbookViews>
    <customWorkbookView activeSheetId="0" maximized="1" windowHeight="0" windowWidth="0" guid="{DF2F70C7-8866-48E0-951D-0637A9BFC8E6}" name="valeria"/>
    <customWorkbookView activeSheetId="0" maximized="1" windowHeight="0" windowWidth="0" guid="{2FF8D759-EFAB-4347-8593-0E948FC0E4E0}" name="FiltroManuel"/>
    <customWorkbookView activeSheetId="0" maximized="1" windowHeight="0" windowWidth="0" guid="{5DF3053E-F225-4014-898E-852EF40825A9}" name="Filtro Flor"/>
    <customWorkbookView activeSheetId="0" maximized="1" windowHeight="0" windowWidth="0" guid="{C06F73FD-FBE6-4E47-84A8-9EE14A662F1F}" name="jOSE"/>
    <customWorkbookView activeSheetId="0" maximized="1" windowHeight="0" windowWidth="0" guid="{24E66665-CBD8-4873-B77F-7F4B2C0ACB8A}" name="DIEGO"/>
    <customWorkbookView activeSheetId="0" maximized="1" windowHeight="0" windowWidth="0" guid="{DDFC2EB7-95C5-477C-8271-D8BCE39DC2D1}" name="Filtro 4"/>
    <customWorkbookView activeSheetId="0" maximized="1" windowHeight="0" windowWidth="0" guid="{E45215E9-CFD8-4C81-8218-503541622618}" name="DIEGO 0602"/>
    <customWorkbookView activeSheetId="0" maximized="1" windowHeight="0" windowWidth="0" guid="{8E66E867-A891-4429-B6C7-0738B0EBDD35}" name="Filtro Manuel"/>
    <customWorkbookView activeSheetId="0" maximized="1" windowHeight="0" windowWidth="0" guid="{EFFCC731-4C38-4EFC-9B3F-E71CC35B304D}" name="Filtro 1"/>
    <customWorkbookView activeSheetId="0" maximized="1" windowHeight="0" windowWidth="0" guid="{895AF92A-7E5E-45BC-96C8-C40A9625D4DC}" name="Filtro 2"/>
    <customWorkbookView activeSheetId="0" maximized="1" windowHeight="0" windowWidth="0" guid="{749CF41C-BB59-4077-81FF-9F52BAA6BCB5}" name="Filtro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EDITAR SEGUN EL ID DEL MVP/MVP-DC
</t>
      </text>
    </comment>
    <comment authorId="0" ref="E1">
      <text>
        <t xml:space="preserve">NO EDITAR, SE AUTOGENERA</t>
      </text>
    </comment>
    <comment authorId="0" ref="A3">
      <text>
        <t xml:space="preserve">&lt;CÓDIGO DE PROYECTO&gt; &lt;AMBIENTE DE PRUEBA&gt;  - &lt;CÓDIGO APP (2)&gt; &lt;NUMERO DE PROCESO (2)&gt; &lt;CORRELATIVO (3)&gt;
EJEMPLO   SRDQA-0101001</t>
      </text>
    </comment>
    <comment authorId="0" ref="B3">
      <text>
        <t xml:space="preserve">CÓDIGO DE MOCKUP QUE TAMBIÉN DEBE ESTAR REGISTRADO EN EL PLAN DE PRUEBAS.
EXISTEN SECCIONES GENERALES (REVISAR EL MANUAL DE CASOS DE PRUEBAS)
EJEM FACTURACION</t>
      </text>
    </comment>
    <comment authorId="0" ref="C3">
      <text>
        <t xml:space="preserve">DESCRIPCION SECCIÓN
EJEM: </t>
      </text>
    </comment>
    <comment authorId="0" ref="E3">
      <text>
        <t xml:space="preserve"># de incidencias registras segun codigo.
NO EDITAR 
SE DEBERIA GENERAR SOLO SEGUN LOS ESTADOS DE TEST RUN y el CÓDIGO
</t>
      </text>
    </comment>
    <comment authorId="0" ref="F3">
      <text>
        <t xml:space="preserve"># de incidencias CORREGIDAS , NO PROCEDE Y POSTERGADAS 
registras según código.
NO EDITAR 
SE DEBERIA GENERAR SOLO SEGUN LOS ESTADOS DE TEST RUN y el CÓDIGO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ESTE CODIGO SE DEBE OBTENER LA PESTAÑA DE TEST CASE SINO ACTUALIZAR
En el peor caso usar la validación de datos en esta columna, en el menú de Datos.
</t>
      </text>
    </comment>
    <comment authorId="0" ref="B1">
      <text>
        <t xml:space="preserve">LISTADO DE TAREAS, SEGUN LOS CASOS
-CASOS MINIMOS
- </t>
      </text>
    </comment>
    <comment authorId="0" ref="C1">
      <text>
        <t xml:space="preserve">LISTADO DE TAREAS, SEGUN LOS CASOS
-CASOS MINIMOS
-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CÓDIGO DEL TEST CASE A PROBAR</t>
      </text>
    </comment>
    <comment authorId="0" ref="B1">
      <text>
        <t xml:space="preserve">UN CONCEPTO QUE SEA ENTENDIBLE PARA EL DESARROLLADOR Y TESTER.
</t>
      </text>
    </comment>
    <comment authorId="0" ref="C1">
      <text>
        <t xml:space="preserve">PASOS PARA REPLICAR EL TEST RUN 
</t>
      </text>
    </comment>
    <comment authorId="0" ref="D1">
      <text>
        <t xml:space="preserve">RESPONSABLE DE REPORTAR LA INCIDENCIA. SI FALTARA EL NOMBRE ACTUALZAR EN LA TABLA CONFIGURACIONES 
</t>
      </text>
    </comment>
    <comment authorId="0" ref="E1">
      <text>
        <t xml:space="preserve">Indicar nivel de incidencia
BASICA:  rapidamente detectado.
INTERMEDIA: se detecta al revisar más de una interfaz o un campo.
ALTA: demora mucho tiempo en ser detectado por la complejidad de sus pasos o no fue considerado en el MVP a pesar de sí ser necesario.
MEJORA: Si no es parte de los requerimientos del MVP o puede considerarse como mejora en el funcionamiento del sistema.</t>
      </text>
    </comment>
    <comment authorId="0" ref="F1">
      <text>
        <t xml:space="preserve">CRITICO: afecta la funcionalidad del sistema. 
</t>
      </text>
    </comment>
    <comment authorId="0" ref="G1">
      <text>
        <t xml:space="preserve">SELECCIONAR EL TIPO YA SEA FUNCIONAL , DISEÑO U OTROS.
</t>
      </text>
    </comment>
    <comment authorId="0" ref="H1">
      <text>
        <t xml:space="preserve">Si el estado es  CORREGIDO se pintara de VERDE
Si el estado es POSTERGADO o NO PROCEDE se pintara de color naranja.</t>
      </text>
    </comment>
    <comment authorId="0" ref="I1">
      <text>
        <t xml:space="preserve">Comentario y descripción sobre el fallo o la observación. </t>
      </text>
    </comment>
    <comment authorId="0" ref="J1">
      <text>
        <t xml:space="preserve">PUEDE SER UN ENLACE A UNA IMAGEN o VIDEO.</t>
      </text>
    </comment>
    <comment authorId="0" ref="K1">
      <text>
        <t xml:space="preserve">DOBLE CLIC PARA SELECCIONAR UNA FECHA
EN EL PEOR CASO VALIDAR LA COLUMNA COMO FECHA
</t>
      </text>
    </comment>
    <comment authorId="0" ref="L1">
      <text>
        <t xml:space="preserve">FECHA DEL CORRECTO FUNCIONAMIENTO DEL TEST RUN INGRESADA POR EL TESTER RESPONSABLE
*EN EL CASO SEA POSTERGADO O  NO PROCEDE SE INDICARA TAMBIEN LA FECHA INDICADA. </t>
      </text>
    </comment>
    <comment authorId="0" ref="M1">
      <text>
        <t xml:space="preserve">ASIGNADO POR EL DESARROLLADOR (EQUIPO DE DESARROLLO).
Si luego de CORREGIDA una observación falla, se cambiara a RECHAZADO y se pintara de ROJO</t>
      </text>
    </comment>
    <comment authorId="0" ref="N1">
      <text>
        <t xml:space="preserve">Código de historia relacionada al MVP en el RedMine
</t>
      </text>
    </comment>
    <comment authorId="0" ref="O1">
      <text>
        <t xml:space="preserve">Indicar el responsable de la historia relacionada o el responsable de la corrección. 
En caso de duda asignar al equipo Back o Equipo Front. 
</t>
      </text>
    </comment>
    <comment authorId="0" ref="P1">
      <text>
        <t xml:space="preserve">Fibonacci: 1,2,3,5,8,13</t>
      </text>
    </comment>
    <comment authorId="0" ref="Q1">
      <text>
        <t xml:space="preserve">COMENTARIOS DE DESARROLLADOR Y TESTER
EN CASO DE NO PROCEDE Y POSTERGADO, EL DESARROLLADOR  INDICAR EL MOTIVO.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ESTE CODIGO SE DEBE OBTENER LA PESTAÑA DE TEST CASE SINO ACTUALIZAR
En el peor caso usar la validación de datos en esta columna, en el menú de Datos.
</t>
      </text>
    </comment>
    <comment authorId="0" ref="B1">
      <text>
        <t xml:space="preserve">LISTADO DE TAREAS, SEGUN LOS CASOS
-CASOS MINIMOS
- </t>
      </text>
    </comment>
    <comment authorId="0" ref="C1">
      <text>
        <t xml:space="preserve">FECHA DEL CORRECTO FUNCIONAMIENTO DEL TEST RUN INGRESADA POR EL TESTER RESPONSABLE
*EN EL CASO SEA POSTERGADO O  NO PROCEDE SE INDICARA TAMBIEN LA FECHA INDICADA. 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segun el sistema.
</t>
      </text>
    </comment>
    <comment authorId="0" ref="B23">
      <text>
        <t xml:space="preserve">lo que salga esa noche
nada critica 
critico es reversion
</t>
      </text>
    </comment>
    <comment authorId="0" ref="C28">
      <text>
        <t xml:space="preserve">pedir a agile si es necesario</t>
      </text>
    </comment>
    <comment authorId="0" ref="C30">
      <text>
        <t xml:space="preserve">pedir a agile si es necesario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Poner el modulo segun el tema la pestaña anterior</t>
      </text>
    </comment>
    <comment authorId="0" ref="C1">
      <text>
        <t xml:space="preserve">AÑADIR REFERENCIA DE FIGMA</t>
      </text>
    </comment>
    <comment authorId="0" ref="D1">
      <text>
        <t xml:space="preserve">Luego de tener un listado de TestCase, agruparlos a su conveniencia</t>
      </text>
    </comment>
    <comment authorId="0" ref="E1">
      <text>
        <t xml:space="preserve">Detallar si se revisara un area o componente  en especifico</t>
      </text>
    </comment>
    <comment authorId="0" ref="F1">
      <text>
        <t xml:space="preserve">Listar los testcase encontrados o validados minimos, 
Ademas incluir incidencias encontradas por comercial
º</t>
      </text>
    </comment>
    <comment authorId="0" ref="G1">
      <text>
        <t xml:space="preserve">De ser necesario dar detalles del caso, o pasos</t>
      </text>
    </comment>
    <comment authorId="0" ref="H1">
      <text>
        <t xml:space="preserve">Insertar referencia de error</t>
      </text>
    </comment>
  </commentList>
</comments>
</file>

<file path=xl/sharedStrings.xml><?xml version="1.0" encoding="utf-8"?>
<sst xmlns="http://schemas.openxmlformats.org/spreadsheetml/2006/main" count="1211" uniqueCount="924">
  <si>
    <t>SPEECH</t>
  </si>
  <si>
    <t>Preguntas Generales</t>
  </si>
  <si>
    <t>Preguntas</t>
  </si>
  <si>
    <r>
      <rPr>
        <rFont val="Arial"/>
        <color theme="1"/>
      </rPr>
      <t>Posibles respuestas (</t>
    </r>
    <r>
      <rPr>
        <rFont val="Arial"/>
        <b/>
        <color theme="1"/>
      </rPr>
      <t>Formato</t>
    </r>
    <r>
      <rPr>
        <rFont val="Arial"/>
        <color theme="1"/>
      </rPr>
      <t xml:space="preserve"> de Respuestas)</t>
    </r>
  </si>
  <si>
    <r>
      <rPr>
        <rFont val="Arial"/>
        <color theme="1"/>
      </rPr>
      <t>Tabla a la que va a la información, en caso de ser</t>
    </r>
    <r>
      <rPr>
        <rFont val="Arial"/>
        <b/>
        <color theme="1"/>
      </rPr>
      <t xml:space="preserve"> nueva información</t>
    </r>
  </si>
  <si>
    <t xml:space="preserve">Nombre del Desarrollador </t>
  </si>
  <si>
    <t>¿Cuál es el id de tu historia ?</t>
  </si>
  <si>
    <t xml:space="preserve">¿Cuál es el alcance de la historia ? </t>
  </si>
  <si>
    <r>
      <rPr>
        <rFont val="Arial"/>
        <b/>
        <color theme="1"/>
      </rPr>
      <t>(Historia de Usuario)
Como</t>
    </r>
    <r>
      <rPr>
        <rFont val="Arial"/>
        <color theme="1"/>
      </rPr>
      <t xml:space="preserve"> usuario {tipoUsuario}
</t>
    </r>
    <r>
      <rPr>
        <rFont val="Arial"/>
        <b/>
        <color theme="1"/>
      </rPr>
      <t xml:space="preserve">Quiero </t>
    </r>
    <r>
      <rPr>
        <rFont val="Arial"/>
        <color theme="1"/>
      </rPr>
      <t>{Accion a realizar}</t>
    </r>
    <r>
      <rPr>
        <rFont val="Arial"/>
        <b/>
        <color theme="1"/>
      </rPr>
      <t xml:space="preserve">
Para</t>
    </r>
    <r>
      <rPr>
        <rFont val="Arial"/>
        <color theme="1"/>
      </rPr>
      <t xml:space="preserve"> {Objetivo final}</t>
    </r>
  </si>
  <si>
    <t>¿Qué repositorios vas a utilizar para solucionar la historia?</t>
  </si>
  <si>
    <t>ERP-FRONT-V1
ERPLogistica
PuntoVenta</t>
  </si>
  <si>
    <r>
      <rPr>
        <rFont val="Arial"/>
        <b/>
        <color theme="1"/>
      </rPr>
      <t xml:space="preserve">Preguntas Para </t>
    </r>
    <r>
      <rPr>
        <rFont val="Arial"/>
        <b/>
        <color rgb="FFFF0000"/>
      </rPr>
      <t>Front</t>
    </r>
  </si>
  <si>
    <t>TABLAS:
1. TipoControl</t>
  </si>
  <si>
    <t>TABLAS:
1. Control</t>
  </si>
  <si>
    <t>TABLAS:
1. TipoEvento
2. Evento</t>
  </si>
  <si>
    <t>TABLAS:
1. Ruta
2. Interfaz
3. RutaInterfaz</t>
  </si>
  <si>
    <t>TABLAS:
1. Modulo</t>
  </si>
  <si>
    <t>TABLAS:
1. SubModulo</t>
  </si>
  <si>
    <t>TABLAS: 
1. Interfaz
2. ContenedorComponente
3. InterfazContenedor</t>
  </si>
  <si>
    <t>TABLAS:
1. Servicios
2. Evento
3. EventosServicio</t>
  </si>
  <si>
    <t>Ejm: button</t>
  </si>
  <si>
    <t>Ejm: Buscar</t>
  </si>
  <si>
    <t>Ejm: onclick</t>
  </si>
  <si>
    <t>Ejm: /admin/documentos/busqueda</t>
  </si>
  <si>
    <t>Ejm: Facturación</t>
  </si>
  <si>
    <t>Ejm: Búsqueda comprobantes</t>
  </si>
  <si>
    <t>Ejm: 4111.component.html</t>
  </si>
  <si>
    <t>Ejm: GET - Contabilidad/api/v1/dominio/parametros</t>
  </si>
  <si>
    <t>Tipo de Control Modificado</t>
  </si>
  <si>
    <t>Nombre de Control</t>
  </si>
  <si>
    <t>Evento que se aplica a Elemento (que genera alguna accion en interfaz)</t>
  </si>
  <si>
    <t xml:space="preserve">Ruta de Interfaz </t>
  </si>
  <si>
    <t>Modulo</t>
  </si>
  <si>
    <t>Submodulo</t>
  </si>
  <si>
    <t>Nombre documento donde se encuentra Control</t>
  </si>
  <si>
    <t>Ruta de Servicio que llama Control</t>
  </si>
  <si>
    <r>
      <rPr>
        <rFont val="Arial"/>
        <b/>
        <color theme="1"/>
      </rPr>
      <t xml:space="preserve">Preguntas Para </t>
    </r>
    <r>
      <rPr>
        <rFont val="Arial"/>
        <b/>
        <color theme="7"/>
      </rPr>
      <t>Back</t>
    </r>
  </si>
  <si>
    <t>TABLAS:
1. Servicios</t>
  </si>
  <si>
    <t>TABLAS:
1. Fuente
2. FuenteServicio</t>
  </si>
  <si>
    <t>Servicio o Web Socket</t>
  </si>
  <si>
    <t>Ruta</t>
  </si>
  <si>
    <t>Redis</t>
  </si>
  <si>
    <t>Kafka</t>
  </si>
  <si>
    <t>S3</t>
  </si>
  <si>
    <t>SQL</t>
  </si>
  <si>
    <t>Vault (solo certificación)</t>
  </si>
  <si>
    <t>Descripción</t>
  </si>
  <si>
    <t>Resultados</t>
  </si>
  <si>
    <t>Valoraciones QA</t>
  </si>
  <si>
    <t>Posibles respuestas (Formato de Respuestas)</t>
  </si>
  <si>
    <t>Riesgo Valorado o Sugerido por QA</t>
  </si>
  <si>
    <t>-</t>
  </si>
  <si>
    <t>Observaciones</t>
  </si>
  <si>
    <t>Ingreso o Verificación de data ingresada a Matriz de Trazabilidad</t>
  </si>
  <si>
    <t>Se encuentra evidenciado en el kickoff del MVP</t>
  </si>
  <si>
    <t xml:space="preserve">Revision de Matriz de trazabilidad </t>
  </si>
  <si>
    <t>Evidencia</t>
  </si>
  <si>
    <t>Conclusiones</t>
  </si>
  <si>
    <t>LEYENDA SPEECH</t>
  </si>
  <si>
    <t>Tabla a la que va a la infromacion, en caso de ser nueva informacion</t>
  </si>
  <si>
    <r>
      <rPr>
        <rFont val="Arial"/>
        <b/>
        <color theme="1"/>
      </rPr>
      <t>(Historia de Usuario)
Como</t>
    </r>
    <r>
      <rPr>
        <rFont val="Arial"/>
        <color theme="1"/>
      </rPr>
      <t xml:space="preserve"> usuario {tipoUusario}
</t>
    </r>
    <r>
      <rPr>
        <rFont val="Arial"/>
        <b/>
        <color theme="1"/>
      </rPr>
      <t xml:space="preserve">Quiero </t>
    </r>
    <r>
      <rPr>
        <rFont val="Arial"/>
        <color theme="1"/>
      </rPr>
      <t>{Accion a realizar}</t>
    </r>
    <r>
      <rPr>
        <rFont val="Arial"/>
        <b/>
        <color theme="1"/>
      </rPr>
      <t xml:space="preserve">
Para</t>
    </r>
    <r>
      <rPr>
        <rFont val="Arial"/>
        <color theme="1"/>
      </rPr>
      <t xml:space="preserve"> {Objetivo final}</t>
    </r>
  </si>
  <si>
    <t>¿Qué repositorios vas a utilizar para solucionar la historia  ?</t>
  </si>
  <si>
    <t>Preguntas Para Front</t>
  </si>
  <si>
    <t>¿Va a requerir algún cambio en front?</t>
  </si>
  <si>
    <t>En front ¿Al realizar que evento o accion se pueden reflejar los cambios o mejoras segun la historia?</t>
  </si>
  <si>
    <t xml:space="preserve">Al hacer {tipoEvento} en el {tipoControl} {nombreContol} ubicado en la ruta {nombreRuta}.
</t>
  </si>
  <si>
    <t>Se obtiene el Modulo, submodulo, ruta, ruta interfaz e Interfaz.
TipoEvento</t>
  </si>
  <si>
    <t>¿En qué Archivo (.html o .ts) se encuentra el elemento de front modificado o aumentado o que genera la accion de cambio segun la historia?</t>
  </si>
  <si>
    <t>Se encuentra en el archivo  {nombreDelArchivo}</t>
  </si>
  <si>
    <t>Se obtiene ContenedorComponete, InterfazContenedor</t>
  </si>
  <si>
    <t>El elemto html modificado o aumentado en front, ¿Qué tipo de elemento es visulamente?</t>
  </si>
  <si>
    <t>Boton, input, Select, etc</t>
  </si>
  <si>
    <t>Control, tipoControl</t>
  </si>
  <si>
    <t>¿Al realizar una accion sobre el elemento html, este llama a algún servicio REST o web socket? Indicar el nombre de la ruta y nombre del repositorio al que pertenece</t>
  </si>
  <si>
    <t xml:space="preserve">Web socket
Nombre ruta: 
Nombre repositorio: </t>
  </si>
  <si>
    <t>Evento
Servicio
Evento Servicio</t>
  </si>
  <si>
    <t>Preguntas Para Back</t>
  </si>
  <si>
    <t xml:space="preserve">¿Se va a modificar o añadir un servicio REST o web socket? </t>
  </si>
  <si>
    <t>Si, {nonbre de ruta de servicio}</t>
  </si>
  <si>
    <t>Servicio</t>
  </si>
  <si>
    <t xml:space="preserve">Em base a el servicio modificado o añadido ¿Se ha modificado clave en redis? </t>
  </si>
  <si>
    <t>Si, y el nombre es {nombre_clave}</t>
  </si>
  <si>
    <t>Fuente
FuenteServicio</t>
  </si>
  <si>
    <t>Em base a el servicio modificado  o añadido ¿Se ha modificado topic en Kafka?</t>
  </si>
  <si>
    <t>Si, y el nombre es {nombre_topic}</t>
  </si>
  <si>
    <t>¿El servicio en cuestion agrega o modifica funcionalidad  o inserta datos en la Base de datos?</t>
  </si>
  <si>
    <t>Si, y el nombre el recurso es un  {storeProcedure, tabla, etc } y se llama {nombre del recurso} y el nombre de columna {nombreColumna} en la BD {NombreDeBD}</t>
  </si>
  <si>
    <t>¿El servicio en cuestion agrega o modifica funcionalidad  o inserta datos en algun Bucket del S3?</t>
  </si>
  <si>
    <t>Si, y el nombre es { Nombre Bucket} y su nomenclatura para guardado de documenyo es {nomeclatura}.</t>
  </si>
  <si>
    <t xml:space="preserve">Muy Alto, Alto, Bajo ... </t>
  </si>
  <si>
    <t>Evidencia (captura ejecucion de script, etc)</t>
  </si>
  <si>
    <t>MVP Request</t>
  </si>
  <si>
    <t>https://erpperucrt.smartclic.pe/auth/login</t>
  </si>
  <si>
    <t>Código</t>
  </si>
  <si>
    <t>Sección</t>
  </si>
  <si>
    <t>Detalle Sección</t>
  </si>
  <si>
    <t xml:space="preserve">RESPONSABLE </t>
  </si>
  <si>
    <t>Cantidad incidencias</t>
  </si>
  <si>
    <t>Incidencias Validadas</t>
  </si>
  <si>
    <t>Incidencias Pendientes</t>
  </si>
  <si>
    <t>Incidencias encontradas</t>
  </si>
  <si>
    <t>Incidencias 
validadas</t>
  </si>
  <si>
    <t>CODIGO</t>
  </si>
  <si>
    <t>Test Run Mínimo</t>
  </si>
  <si>
    <t>Pasos</t>
  </si>
  <si>
    <t>Resultado esperado</t>
  </si>
  <si>
    <t>Criticidad</t>
  </si>
  <si>
    <t>Check de Desarrollador</t>
  </si>
  <si>
    <t>Evidencia Desarrollador</t>
  </si>
  <si>
    <t>Codigo</t>
  </si>
  <si>
    <t>Test</t>
  </si>
  <si>
    <t>Responsable Revisión</t>
  </si>
  <si>
    <t>Nivel de detección</t>
  </si>
  <si>
    <t>Tipo de Incidencia</t>
  </si>
  <si>
    <t>Estado Revision</t>
  </si>
  <si>
    <t>Resultados / comentarios</t>
  </si>
  <si>
    <t>Referencia</t>
  </si>
  <si>
    <t>Fecha de Revisión</t>
  </si>
  <si>
    <t>Fecha de Validación</t>
  </si>
  <si>
    <t>Estado Desarrollo</t>
  </si>
  <si>
    <t>Historia</t>
  </si>
  <si>
    <t>Responsable de Corrección</t>
  </si>
  <si>
    <t>Complejidad</t>
  </si>
  <si>
    <t>Comentario</t>
  </si>
  <si>
    <t>Módulo</t>
  </si>
  <si>
    <t>Fecha</t>
  </si>
  <si>
    <t>Revisado</t>
  </si>
  <si>
    <t>Resultado</t>
  </si>
  <si>
    <t>Productos y Stock</t>
  </si>
  <si>
    <t>Responsable</t>
  </si>
  <si>
    <t>Ok crt</t>
  </si>
  <si>
    <t>Ok Prd</t>
  </si>
  <si>
    <t>Filtros en lista de ítems</t>
  </si>
  <si>
    <t>- Verificar que la información se muestre de acuerdo a los filtros</t>
  </si>
  <si>
    <t>Carga masiva de ítems</t>
  </si>
  <si>
    <t>- Crear ítem (producto, servicio, insumo, combo, receta, lista de productos) de forma masiva
- Ver ítem creado en lista de ítems
- Ver almacenes en los que se creó el ítem</t>
  </si>
  <si>
    <t xml:space="preserve">Crear Item </t>
  </si>
  <si>
    <t>- Crear ítem (producto, servicio, insumo, combo, receta, lista) de forma individual
- Ver ítem creado en lista de ítems
- Verificar la información en Ver Ítem
- Verificar que los datos sean correctos en bitácora
- Verificar variantes, equivalencias, selectores</t>
  </si>
  <si>
    <t>Editar ítem</t>
  </si>
  <si>
    <t>- Verificar nueva información</t>
  </si>
  <si>
    <t>Clonar ítem</t>
  </si>
  <si>
    <t>- Ver nuevo ítem creado</t>
  </si>
  <si>
    <t>Actualización masiva de ítems</t>
  </si>
  <si>
    <t>- Ver nueva información de ítems</t>
  </si>
  <si>
    <t>Actualización masiva de stock de ítems</t>
  </si>
  <si>
    <t>- Ver nuevo stock de ítems</t>
  </si>
  <si>
    <t>Exportar ítems</t>
  </si>
  <si>
    <t>- Descarga correcta de información</t>
  </si>
  <si>
    <t>Movimientos</t>
  </si>
  <si>
    <t>Creación de proveedor desde nuevo ingreso de almacén</t>
  </si>
  <si>
    <t>- Registrar nuevo proveedor
- Buscar proveedor creado
- Usar proveedor creado</t>
  </si>
  <si>
    <t>Creación de cliente desde nueva salida de almacén</t>
  </si>
  <si>
    <t>- Registrar nuevo cliente
- Buscar cliente creado
- Usar cliente creado</t>
  </si>
  <si>
    <t>Realizar ingreso de almacén</t>
  </si>
  <si>
    <t>- Ver movimiento de inventario
- Ver movimiento en Kardex
- Ver formatos de impresión
- Enviar por whatsapp y correo
- Descargar PDF</t>
  </si>
  <si>
    <t xml:space="preserve">Realizar salida de almacén sin despachar </t>
  </si>
  <si>
    <t>- Ver descargo de inventario
- Ver movimiento en kardex
- Ver formatos de impresión
- Enviar por whatsapp y correo
- Descargar PDF
- Despachar salida
- Ver bitácora (eventos de creación y actualización)</t>
  </si>
  <si>
    <t>Realizar un ajuste</t>
  </si>
  <si>
    <t>- Ver descargo de inventario
- Agregar campos adicionales
- Ver bitácora (eventos de creación y actualización)</t>
  </si>
  <si>
    <t>Realizar un traslado (con o sin confirmación)</t>
  </si>
  <si>
    <t>- Ver descargo de inventario
- Ver bitácora (eventos de creación y actualización)</t>
  </si>
  <si>
    <t>Editar un movimiento de almacén</t>
  </si>
  <si>
    <t>- Ver cambios de stock en el ítem
- Ver información en ver movimiento</t>
  </si>
  <si>
    <t>Clonar un movimiento de almacén</t>
  </si>
  <si>
    <t>Realizar movimiento masivo</t>
  </si>
  <si>
    <t>- Verificar movimientos creados desde lista
- Ver descargos de stock</t>
  </si>
  <si>
    <t>Imprimir y enviar un movimiento desde la lista de movimientos</t>
  </si>
  <si>
    <t>- Ver acciones del movimiento
- Imprimir en A4 y ticket
- Enviar por whatsapp y correo
- Descargar PDF</t>
  </si>
  <si>
    <t>Eliminar un movimiento de almacén</t>
  </si>
  <si>
    <t>- Verificar aumento o disminución de stock</t>
  </si>
  <si>
    <t>Exportar movimientos</t>
  </si>
  <si>
    <t>- Filtrar algunos movimientos y exportar movimientos PDF y Excel
- Descarga básica y descarga con todos los campos</t>
  </si>
  <si>
    <t>Exportar movimientos detallados</t>
  </si>
  <si>
    <t>- Filtrar algunos movimientos y exportar movimientos detallados PDF y Excel
- Descarga básica y descarga con todos los campos</t>
  </si>
  <si>
    <t>Movimientos rápidos</t>
  </si>
  <si>
    <t>Realizar un ingreso rápido de stock de producto</t>
  </si>
  <si>
    <t>- Verificar aumento de stock</t>
  </si>
  <si>
    <t>Realizar una salida rápida de stock de insumo</t>
  </si>
  <si>
    <t>- Verificar salida de stock</t>
  </si>
  <si>
    <t>Configuraciones</t>
  </si>
  <si>
    <t>Búsqueda de configuraciones</t>
  </si>
  <si>
    <t>- Revisar redireccionamiento
- Revisar correcta foto
- Revisar correcto nombre</t>
  </si>
  <si>
    <t>Configuración del sistema</t>
  </si>
  <si>
    <t>Sucursales</t>
  </si>
  <si>
    <t>- Sin ruc: Solo tendra 3 documentos habilitados Cotización, nota de venta y pedidos
- Con ruc: Todos los documentos habilitados</t>
  </si>
  <si>
    <t>Caja de ventas</t>
  </si>
  <si>
    <t>- Sin ruc: 3 documentos visibles cotización, nota de venta y pedidos
- Con ruc: Todos los documentos visibles</t>
  </si>
  <si>
    <t>Plantillas de impresion</t>
  </si>
  <si>
    <t>- Configuración simple
- Configuración avanzada</t>
  </si>
  <si>
    <t>Configuración cuenta</t>
  </si>
  <si>
    <t>Crear empresa</t>
  </si>
  <si>
    <t>- Inicialmente se visualiza el modal de 5 pasos
- Verificar que en series electronicas se visualice Nota de venta
- Verificar que en series electronicas se visualice Pedido
- Con ruc:  todas las series hablitadas
- Sin ruc: solo cotizacion, nota de venta y pedidos habilitadas</t>
  </si>
  <si>
    <t>Login</t>
  </si>
  <si>
    <t>Registrar cuenta</t>
  </si>
  <si>
    <t>- Muestra modal exitoso y redirige al home</t>
  </si>
  <si>
    <t>Continuar con Gmail y Facebook</t>
  </si>
  <si>
    <t>- Al finalizar redirige al home</t>
  </si>
  <si>
    <t>Cajas de ventas</t>
  </si>
  <si>
    <t>Abrir o reanudar caja</t>
  </si>
  <si>
    <t>- Ver total de comprobantes emitidos
- Ver total de monto ingresado a caja
- Ver ítems más vendidos</t>
  </si>
  <si>
    <t>Ventas</t>
  </si>
  <si>
    <t>Modal de anulaciones</t>
  </si>
  <si>
    <t>- Abrir modal de anulaciones
- Dar de baja una factura
- Dada de baja satisfactoria
- Dar de baja una factura con más de 7 días de emisión</t>
  </si>
  <si>
    <t>Realizar ingreso</t>
  </si>
  <si>
    <t>- Ver monto en caja (menú lateral)</t>
  </si>
  <si>
    <t>Realizar egreso</t>
  </si>
  <si>
    <t>Transformar cotización, emitir ahora y editar antes de emitir</t>
  </si>
  <si>
    <t>- Transformar cotización a factura, boleta o nota de venta
- Ver comprobante aceptado</t>
  </si>
  <si>
    <t>Punto de Venta</t>
  </si>
  <si>
    <t>Emisión de factura con ítem con control de stock con datos adicionales</t>
  </si>
  <si>
    <t>-Descarga de PDF, XML
- Envío por whatsapp, correo
- Link de archivo copiado
- Ver en búsqueda de comprobantes
- Ver descargo de inventario</t>
  </si>
  <si>
    <t>Emitir comprobante con archivo adjunto y serie manual</t>
  </si>
  <si>
    <t>- Adjuntar archivo
- Ver comprobante aceptado en lista</t>
  </si>
  <si>
    <t>Emisión de boleta con equivalencias, variantes y descuento global</t>
  </si>
  <si>
    <t>- Ver en búsqueda de comprobantes
- Ver descargo de inventario si se usa ítem con control de stock
- Ver precuenta
- Ver descuento</t>
  </si>
  <si>
    <t>Emisión de nota de venta con descuento por ítem</t>
  </si>
  <si>
    <t>- Ver en búsqueda de comprobantes
- Ver descargo de inventario si se usa ítem con control de stock
- Ver vista previa
- Ver descuentos</t>
  </si>
  <si>
    <t>Emisión de cotización</t>
  </si>
  <si>
    <t>- Ver en búsqueda de comprobantes
- No debe tener restricción al agregar ítems estrictos sin stock</t>
  </si>
  <si>
    <t>Crear cliente y emitir</t>
  </si>
  <si>
    <t>- Ver cliente en lista</t>
  </si>
  <si>
    <t>Añadir campos y vistas</t>
  </si>
  <si>
    <t>- Seleccionar campos para ver en punto de venta y guardar
- Cambiar de vista y guardar
- Verificar cambios al actualizar la página</t>
  </si>
  <si>
    <t>Emitir comprobante con ítems con selectores</t>
  </si>
  <si>
    <t>- Ver descargo de stock de selectores si corresponde
- Ver impresiones, descargas
- Ver en búsqueda de comprobantes</t>
  </si>
  <si>
    <t>Crear pedido y pagarlo</t>
  </si>
  <si>
    <t>- Ver descargo de stock si corresponde
- Ver impresiones, descargas
- Ver en búsqueda de comprobantes</t>
  </si>
  <si>
    <t>Ver comprobantes</t>
  </si>
  <si>
    <t xml:space="preserve">- Ver boleta / factura
- Ver nota de crédito
- Ver nota de venta
- Ver cotización
- Ver acciones extras de comprobantes
- Ver datos adicionales del comprbante
- Ver los archivos adjuntos del comprobante
- Ver bitacora </t>
  </si>
  <si>
    <t>Clonar factura y boleta</t>
  </si>
  <si>
    <r>
      <rPr>
        <rFont val="Comfortaa"/>
        <color theme="1"/>
        <sz val="11.0"/>
      </rPr>
      <t>- Clonar factura con datos adicionales
- Clonar documento con moneda de soles en caja con dolares(</t>
    </r>
    <r>
      <rPr>
        <rFont val="Comfortaa"/>
        <b/>
        <color rgb="FFEA4335"/>
        <sz val="11.0"/>
      </rPr>
      <t>Fijarse que no deje</t>
    </r>
    <r>
      <rPr>
        <rFont val="Comfortaa"/>
        <color theme="1"/>
        <sz val="11.0"/>
      </rPr>
      <t>)
- Clonar boleta con detraccion/ Servicio de transporte de carga
- Clonar boleta con descuentos por item
- Clonar factura con descuentos globales
- Clonar item de un solo almacén en otro(</t>
    </r>
    <r>
      <rPr>
        <rFont val="Comfortaa"/>
        <b/>
        <color rgb="FFFF6D01"/>
        <sz val="11.0"/>
      </rPr>
      <t>Esperar el modal de error</t>
    </r>
    <r>
      <rPr>
        <rFont val="Comfortaa"/>
        <color theme="1"/>
        <sz val="11.0"/>
      </rPr>
      <t>)
- Clonar con un item sin stock suficiente de un almacen a otro</t>
    </r>
  </si>
  <si>
    <t>Clonar Nota de venta, Pedidos, cotizaciones</t>
  </si>
  <si>
    <t>- Clonar Nota de venta con datos adicionales y descuento global
- Clonar Cotizacion  con item  variante sin stock 
- Clonar Pedido con item equivalente sin stock
- Clonar Nota de venta con un item de un solo almacén en otro(Esperar el modal de error)
- Clonar Nota de venta con un item sin stock suficiente de un almacen a otro</t>
  </si>
  <si>
    <t>Busqueda de comprobantes</t>
  </si>
  <si>
    <r>
      <rPr>
        <rFont val="Comfortaa"/>
        <color theme="1"/>
        <sz val="11.0"/>
      </rPr>
      <t>- Aplicar filtro avanzado por tipo de comprobante
- Aplicar filtro avanzado con Factura / Boleta / Nota de venta de adelanto
- Crear un nuevo comprobante y seleccionar una caja(</t>
    </r>
    <r>
      <rPr>
        <rFont val="Comfortaa"/>
        <color rgb="FFFF0000"/>
        <sz val="11.0"/>
      </rPr>
      <t>Debe listarte las cajas o solo dejarte emitir en cajas que tengan ese tipo de comprobante</t>
    </r>
    <r>
      <rPr>
        <rFont val="Comfortaa"/>
        <color theme="1"/>
        <sz val="11.0"/>
      </rPr>
      <t>)
- Aplicar filtro avanzado por estado sunat</t>
    </r>
  </si>
  <si>
    <t>Emitir comprobante con retención</t>
  </si>
  <si>
    <t>- Ver monto de retención</t>
  </si>
  <si>
    <t>Emitir comprobante de exportación con receta</t>
  </si>
  <si>
    <t>- Verificar que ningún ítem tenga IGV
- Usar cliente diferente a DNI, RUC
- Ver descargo de items de receta</t>
  </si>
  <si>
    <t>Facturación</t>
  </si>
  <si>
    <t>Emitir factura con datos adicionales y producto manual, selectores</t>
  </si>
  <si>
    <t>- Ver campos adicionales en impresión A4 y voucher
- Ver en búsqueda de comprobantes</t>
  </si>
  <si>
    <t>Emitir boleta con isc, icbper, ítems con control de stock</t>
  </si>
  <si>
    <t>- Ver en búsqueda de comprobantes
- Ver descargo de inventario</t>
  </si>
  <si>
    <t>Emitir comprobante con adelanto</t>
  </si>
  <si>
    <t>- Emitir adelanto, verificar que no haya descarga de stock 
- Usar adelanto y ver monto de adelanto en comprobante
- Filtrar adelantos por igv</t>
  </si>
  <si>
    <t>Emitir comprobante con detracción</t>
  </si>
  <si>
    <t>- Ver monto de detracción en comprobante
- Impresiones y envíos</t>
  </si>
  <si>
    <t>Generar factura desde cotización (desde búsqueda de comprobantes)</t>
  </si>
  <si>
    <t>- Buscar una cotización en búsqueda de comprobantes
- Generar factura
- Visualizar datos correctos</t>
  </si>
  <si>
    <t>Emitir guía de remisión remitente y transportista</t>
  </si>
  <si>
    <t>- Ver guía en búsqueda de comprobantes</t>
  </si>
  <si>
    <t>Emitir nota de crédito</t>
  </si>
  <si>
    <t>- Motivo Anulación de la operación
- Motivo Devolución por ítem
- Motivo Corrección en descripción
- Aplicar el switch de retorno (desactivado no hace descargo de stock)
- Ver devolución de monto (si aplica y si el pago fue al contado)</t>
  </si>
  <si>
    <t>Generar nota de crédito (desde búsqueda de comprobantes)</t>
  </si>
  <si>
    <t>- Buscar factura o boleta en búsqueda de comprobantes y generar nota de crédito por error en el RUC
- Ver datos correctos, impresiones</t>
  </si>
  <si>
    <t>Emitir cotización</t>
  </si>
  <si>
    <t>- Ver precios con y sin IGV
- Ver comprobante en lista</t>
  </si>
  <si>
    <t>Emitir nota de débito</t>
  </si>
  <si>
    <t>- Motivo Intereses por mora / Aumento en el valor
- Ver nota en búsqueda de comprobantes 
- Impresiones y descargas</t>
  </si>
  <si>
    <t>Emitir nota de venta</t>
  </si>
  <si>
    <t>- Descargar PDF
- Ver impresión A4 y ticket
- Verificar que no muestre IGV</t>
  </si>
  <si>
    <t>Buscar pedido por correlativo, cliente, caja, editar y pagar</t>
  </si>
  <si>
    <t>- Ver lista de pedidos, filtrar
- Ver descargo de stock si corresponde
- Ver impresiones, descargas
- Ver en búsqueda de comprobantes</t>
  </si>
  <si>
    <t>Compras</t>
  </si>
  <si>
    <t>Nueva compra</t>
  </si>
  <si>
    <t>- Ver movimientos (ingresos)
- Ver incremento en monto de caja
- En el caso de tener varias cajas, aparecerá un modal para escoger la caja que se se quiera aperturar</t>
  </si>
  <si>
    <t>Editar compra</t>
  </si>
  <si>
    <t>- En el caso de descuadre de stock de item estricto, saldra un modal de advertencia
- Ver cambios en Ver compra</t>
  </si>
  <si>
    <t>Clonar compra</t>
  </si>
  <si>
    <t>- Ver movimientos (ingresos)
- Ver incremento en monto de caja</t>
  </si>
  <si>
    <t>Apertura y cierre Cajas de ventas</t>
  </si>
  <si>
    <t>Emitir comprobante a credito</t>
  </si>
  <si>
    <t>- Ver que el total en caja no se haya modificado
- Revisar que se haya aumentado el comprobante emitido con credito(FAC/BOL/TK)</t>
  </si>
  <si>
    <t>Ver top de ventas por moneda dentro de detalles</t>
  </si>
  <si>
    <t>- Ver el Top de ventas por moneda(S/. , $, ...)</t>
  </si>
  <si>
    <t xml:space="preserve">Ver detalle y Cerrar caja </t>
  </si>
  <si>
    <t>- Ver resumen de caja 
- Ver los metodos de pagos utilizados
- Ver item mas vendidos
- Ver detalle por comprobante 
- Ver ventas/comprobantes emitidos de caja (solo emitidos en la caja) =&gt; verificar totales pagados
- Agregar o quitar campos en las acciones y guardar /Ventas
- Aplicar filtros avanzados y por moneda en ventas /Ventas
- Busqueda por serie o correlativo /ventas
- Ver pago en las acciones por comprobante /ventas
- Ver comprobantes anulados  y notas de credito de caja
- Ver productos vendidos y ver detalle(reedirecciona al comprobante)
- Verificar descuentos por item y globales
- Cerrar caja 
- Ingresar los montos reportados</t>
  </si>
  <si>
    <t xml:space="preserve">Descargar excel </t>
  </si>
  <si>
    <t>- Descargar excel modulo de resumen de caja(ver que tiene los datos correctos)
-Descargar cierre de caja/Ventas (ver que tiene los datos correctos)
-Descargar cierre de caja/Ingresos y Egresos (ver que tiene los datos correctos)
-Descargar cierre de caja/Anulaciones y notas de credito (ver que tiene los datos correctos)
-Descargar cierre de caja/Items vendidos (ver que tiene los datos correctos)
-Descargar cierre de caja/Descuentos (ver que tiene los datos correctos)</t>
  </si>
  <si>
    <t>Clientes y proveedores</t>
  </si>
  <si>
    <t>Crear nuevo cliente</t>
  </si>
  <si>
    <t>- Ver cliente en lista
- Usar cliente en punto de venta</t>
  </si>
  <si>
    <t>Editar cliente</t>
  </si>
  <si>
    <t>Ver ventas al cliente</t>
  </si>
  <si>
    <t>- Ver ventas al cliente
- Eliminar cliente con venta (No debe permitir)</t>
  </si>
  <si>
    <t>Ver cliente</t>
  </si>
  <si>
    <t xml:space="preserve">- Ir a ver cliente
- Ver que aparezca alguna venta </t>
  </si>
  <si>
    <t>Crear nuevo proveedor</t>
  </si>
  <si>
    <t xml:space="preserve">- Ver proveedor en lista
- Hacer compra con proveedor
- Ver proveedor al registrar movimiento de salida, ajuste y traslado </t>
  </si>
  <si>
    <t>Ver compras al proveedor</t>
  </si>
  <si>
    <t>- Ver compras al proveedor
- Eliminar proveedor con compra (No debe permitir)</t>
  </si>
  <si>
    <t>Ver proveedor</t>
  </si>
  <si>
    <t>- Ir a ver proveedor
- Ver que aparezca la compra</t>
  </si>
  <si>
    <t>Crear conductor</t>
  </si>
  <si>
    <t>- Crear conductor con todos los datos y campos adicionales</t>
  </si>
  <si>
    <t>Editar conductor</t>
  </si>
  <si>
    <t>- Editar conductor
- Ver bitácora</t>
  </si>
  <si>
    <t>Agregar conductor a guia</t>
  </si>
  <si>
    <t>- Usar conductor para guia
- Ver guias del conductor
- Eliminar conductor relacionado a guia (No debe permitir)</t>
  </si>
  <si>
    <t>Crear vendedor</t>
  </si>
  <si>
    <t>- Crear vendedor con todos los datos y campos adicionales</t>
  </si>
  <si>
    <t>Editar vendedor</t>
  </si>
  <si>
    <t>- Editar vendedor
- Ver bitácora</t>
  </si>
  <si>
    <t>Utilizar vendedor en venta</t>
  </si>
  <si>
    <r>
      <rPr>
        <rFont val="Comfortaa"/>
        <color theme="1"/>
        <sz val="11.0"/>
      </rPr>
      <t xml:space="preserve">- Usar vendedor en una venta
- Eliminar vendedor relacionado a venta (No debe permitir) 
</t>
    </r>
    <r>
      <rPr>
        <rFont val="Comfortaa"/>
        <color rgb="FFFF0000"/>
        <sz val="11.0"/>
      </rPr>
      <t>Nota:  Al ver ventas al vendedor no se muestra las ventas del vendedor</t>
    </r>
  </si>
  <si>
    <t>Reportes</t>
  </si>
  <si>
    <t>Reporte estado sunat</t>
  </si>
  <si>
    <t>- Solo comprobantes que van a sunat (factura, boleta, nota de credito, nota de debito y guias)</t>
  </si>
  <si>
    <t>Reporte Contable</t>
  </si>
  <si>
    <t>- Solo comprobantes que van a sunat (factura, boleta, nota de credito, nota de debito excepto guias)
- Descarga pdf y excel
- Monto Total por comprobantes
- Monto Total por comprobantes anulados
- Monto por tipo de afectación de item
- Listado de comprobontes con sus respectivos montos</t>
  </si>
  <si>
    <t>Informe 01: Estados de Revisión vs Criticidad</t>
  </si>
  <si>
    <t>INICIO ITERACIÓN 07/07/2021</t>
  </si>
  <si>
    <t>CRITICIDAD</t>
  </si>
  <si>
    <t>TOTAL</t>
  </si>
  <si>
    <t>Estado Revisión</t>
  </si>
  <si>
    <t>Observado</t>
  </si>
  <si>
    <t>Falló</t>
  </si>
  <si>
    <t>Incompleto</t>
  </si>
  <si>
    <t>Corregido</t>
  </si>
  <si>
    <t>Postergado</t>
  </si>
  <si>
    <t>No procede</t>
  </si>
  <si>
    <t>Informe 02: Estado de desarrollo</t>
  </si>
  <si>
    <t>ESTADO DESARROLLO</t>
  </si>
  <si>
    <t>Sin Responsable</t>
  </si>
  <si>
    <t>Roy Ibañez</t>
  </si>
  <si>
    <t>Moises</t>
  </si>
  <si>
    <t>OBS. TOTAL</t>
  </si>
  <si>
    <t>TOTAL DE OBSERVACIONES</t>
  </si>
  <si>
    <t xml:space="preserve">Alexis </t>
  </si>
  <si>
    <t>Jorge Suanha</t>
  </si>
  <si>
    <t>Kevin</t>
  </si>
  <si>
    <t>Luis Yanque</t>
  </si>
  <si>
    <t>Bryan</t>
  </si>
  <si>
    <t>Marielena</t>
  </si>
  <si>
    <t xml:space="preserve">Melany </t>
  </si>
  <si>
    <t xml:space="preserve">FALTAN </t>
  </si>
  <si>
    <t>POR VALIDAR POR QA</t>
  </si>
  <si>
    <t>EquipoBack</t>
  </si>
  <si>
    <t>FACTURACIÓN</t>
  </si>
  <si>
    <t>Obervaciones</t>
  </si>
  <si>
    <t>Boleta de adelanto 18%</t>
  </si>
  <si>
    <t>- Estado aceptado en SUNAT
- Estado pendiente de pago en Búsqueda de comprobantes
- Usar ese adelanto
- Ver bitácora
- Ver comprobante ( Descargar PDF, Descargar XML, Descargar CDR, Imprimir A4, Imprimir Ticket, Vista impresión, enviar por correo, mensaje WhatsApp)
- Ver fecha y hora de emisión</t>
  </si>
  <si>
    <t>Factura al contado con 4 dias atras item gravado, exonerado e inafecto 10%</t>
  </si>
  <si>
    <t>- Estado aceptado en SUNAT
- Estado pendiente de pago en Búsqueda de comprobantes
- Ver movimiento de stock de inventario y kardex
- Ver comprobantes ( Descargar PDF, Descargar XML, Descargar CDR, Imprimir A4, Imprimir Ticket, Vista impresión, enviar por correo, mensaje WhatsApp)</t>
  </si>
  <si>
    <t>Factura al crédito 5 cuotas items combos, equivalencias 18 %</t>
  </si>
  <si>
    <t>- Descarga de PDF, XML, CDR
- Listado en Búsqueda de comprobantes.
- Ver descargo de stock</t>
  </si>
  <si>
    <t>Boleta contado guardar descuento ítem y global 18%</t>
  </si>
  <si>
    <t>- Ver comprobante desde el ojito de búsqueda (datos correctos)
- Listado en Búsqueda de comprobantes.</t>
  </si>
  <si>
    <t>Cotización con RUC</t>
  </si>
  <si>
    <t>- Enviar por whatsApp (verificar que descargue el pdf)
- Listado de la cotización en búsqueda
- Realizar copia
- Ver comprobante ( Descargar PDF, Vista impresión, enviar por correo, mensaje WhatsApp)</t>
  </si>
  <si>
    <t>Boleta a partir de cotización  con 5 dias atras</t>
  </si>
  <si>
    <t>- Listado en búsqueda de comprobantes
- Ver movimiento de stock de inventario y kardex</t>
  </si>
  <si>
    <t>Factura a partir de cotización con retención  editado</t>
  </si>
  <si>
    <t xml:space="preserve">- Ver pdf con datos correctos de la retención
- Envío por correo </t>
  </si>
  <si>
    <t>Factura con detracción 10%</t>
  </si>
  <si>
    <t>- Ver pdf con datos correctos de la detraccción
- Estado SUNAT aceptado en búsqueda de comprobantes</t>
  </si>
  <si>
    <t>Boleta con detracción en dólares</t>
  </si>
  <si>
    <t>Ticket a partir de cotización</t>
  </si>
  <si>
    <t>- Opciones de Imprimir Ticket e Imprimir PDF</t>
  </si>
  <si>
    <t xml:space="preserve">Guía de remisión remitente ventas privada </t>
  </si>
  <si>
    <t>- Listado en búsqueda de comprobantes
- Descarga de PDF, XML post emisión
- Ver comprobante ( Descargar PDF, Descargar XML, Descargar CDR, Imprimir A4, Imprimir Ticket, Vista impresión, enviar por correo, mensaje WhatsApp)
- Ver hora y fecha de emisión</t>
  </si>
  <si>
    <t xml:space="preserve">Guía de remisión remitente exportación publica </t>
  </si>
  <si>
    <t>- Listado en búsqueda de comprobantes
- Imprimir Ticket, Imprimir A4</t>
  </si>
  <si>
    <t xml:space="preserve">Guía de remisión transportista </t>
  </si>
  <si>
    <t>- Listado en búsqueda de comprobantes
- Imprimir Ticket, Imprimir A4
- Descarga de PDF, XML
- Ver comprobante ( Descargar PDF, Descargar XML, Descargar CDR, Imprimir A4, Imprimir Ticket, Vista impresión, enviar por correo, mensaje WhatsApp)</t>
  </si>
  <si>
    <t>Ticket de venta item gravado</t>
  </si>
  <si>
    <t>- Listado en búsqueda de comprobantes
- Imprimir Ticket, Imprimir A4
- Descarga de PDF, XML
- Ver comprobante ( Descargar PDF, Imprimir A4, Imprimir Ticket, Vista impresión, enviar por correo, mensaje WhatsApp)</t>
  </si>
  <si>
    <t>Ticket de egreso</t>
  </si>
  <si>
    <t>Ticket de adelanto</t>
  </si>
  <si>
    <t>- Listado en búsqueda de comprobantes
- Ver comprobante ( Descargar PDF, Imprimir A4, Imprimir Ticket, Vista impresión, enviar por correo, mensaje WhatsApp)</t>
  </si>
  <si>
    <t>Regenerar PDF</t>
  </si>
  <si>
    <t>-Cambiar plantilla de Boleta, Factura, Guia
-Ver PDF regenerado</t>
  </si>
  <si>
    <t>Clonación de documento</t>
  </si>
  <si>
    <t>Transformación de documento</t>
  </si>
  <si>
    <t>Nota de crédito motivo anulación de la operación fecha actual desde nuevo comprobante</t>
  </si>
  <si>
    <t>- Listado en búsqueda de comprobantes
- Imprimir Ticket, Imprimir A4
- Descarga de PDF, XML, CDR
- Estado de pago en búsqueda de comprobantes
- Ver comprobante ( Descargar PDF, Descargar XML, Descargar CDR, Imprimir A4, Imprimir Ticket, Vista impresión, enviar por correo, mensaje WhatsApp)</t>
  </si>
  <si>
    <t>Nota de crédito motivo: error en la descripción desde búsqueda de comprobantes</t>
  </si>
  <si>
    <t>Nota de crédito afectado a boleta devolución por ítem fecha actual desde nuevo comprobante</t>
  </si>
  <si>
    <t>- Listado en búsqueda de comprobantes
- Imprimir Ticket, Imprimir A4
- Ver movimiento de stock de inventario y kardex
- Ver comprobante ( Descargar PDF, Descargar XML, Descargar CDR, Imprimir A4, Imprimir Ticket, Vista impresión, enviar por correo, mensaje WhatsApp)</t>
  </si>
  <si>
    <t>Nota de débito fecha actual desde buscador</t>
  </si>
  <si>
    <t>- Descarga de PDF, XML, CDR
- Estado de pago en búsqueda de comprobantes</t>
  </si>
  <si>
    <t>Nota de crédito motivo: Corrección en monto de pago  para factural</t>
  </si>
  <si>
    <t>- Listado en búsqueda de comprobantes</t>
  </si>
  <si>
    <t>Descarga masiva de archivos desde búsqueda de comprobantes</t>
  </si>
  <si>
    <t>- Descarga correcta de los archivos de los comprobantes seleccionados</t>
  </si>
  <si>
    <t>Comunicación de baja</t>
  </si>
  <si>
    <t>- Ver movimiento de dinero sí el comprobante dado de baja está como pagado
- Ver retorno de stock en inventario</t>
  </si>
  <si>
    <t>Factura - emisión masiva csv</t>
  </si>
  <si>
    <t>- Ver estado Generado en búsqueda de comprobantes
- Ver estado Aceptado y estado de pago al emitir manualmente</t>
  </si>
  <si>
    <t>Nota de credito - emisión masiva csv</t>
  </si>
  <si>
    <t>Comunicacion de baja - emisión masiva csv</t>
  </si>
  <si>
    <t>Emitir comprobantes desde boton EMITIR SUNAT MASIVO</t>
  </si>
  <si>
    <t>-Verificar la emision de boleta, factura</t>
  </si>
  <si>
    <t>Reporte General Contable</t>
  </si>
  <si>
    <t>- Verificar que genere el reporte
- Verificar los filtros
- Verificar que los ultimos documentos emitidos esten 
- Verificar la descarga del excel
- Ver que el excel tenga contenido</t>
  </si>
  <si>
    <t>Reporte de Cierre de Día</t>
  </si>
  <si>
    <t>- Verificar que genere el reporte
- Verificar los filtros
- Verificar que los ultimos documentos emitidos esten
- Verificar los sub reportes 
- Verificar la descarga del excel
- Ver que el excel tenga contenido</t>
  </si>
  <si>
    <t>Reporte de Ventas</t>
  </si>
  <si>
    <t>- Verificar que genere el reporte
- Verificar los filtros
- Verificar que los ultimos documentos emitidos esten 
- Verificar la descarga del excel y PDFs
- Ver que el excel tenga contenido y PDFs</t>
  </si>
  <si>
    <t>Reporte de Ventas Detallado</t>
  </si>
  <si>
    <t>Reporte de Utilidad por Producto</t>
  </si>
  <si>
    <t>Reporte Estados SUNAT</t>
  </si>
  <si>
    <t xml:space="preserve">- Verificar que genere el reporte
- Verificar los filtros
- Verificar que los ultimos documentos emitidos esten </t>
  </si>
  <si>
    <t>Reporte Dinámico ítem</t>
  </si>
  <si>
    <t>Emisión de boleta por integración</t>
  </si>
  <si>
    <t>Emisión de factura por integración</t>
  </si>
  <si>
    <t>Emisión de guías de remisión por integración</t>
  </si>
  <si>
    <t>Ticket de venta pago yape con DNI válido</t>
  </si>
  <si>
    <t>- Ver movimiento de dinero en cierre de caja con medio de pago yape
- Ver descarga de inventario
- Imprimir Ticket, Imprimir A4
- Descarga de PDF</t>
  </si>
  <si>
    <t>Boleta crédito clientes varios</t>
  </si>
  <si>
    <t>- Ver descarga de inventario
- Imprimir Ticket, Imprimir A4
- Descarga de PDF, XML, CDR
 - Enviar correo
- Ver cuotas desde búsqueda de comprobantes</t>
  </si>
  <si>
    <t>Boleta con RUC item exonerado en dólares</t>
  </si>
  <si>
    <t>- Ver movimiento de dinero en cierre de caja con medio de pago efectivo
- Ver descarga de inventario
- Descarga de XML</t>
  </si>
  <si>
    <t>Factura retención contado</t>
  </si>
  <si>
    <t>- Ver movimiento de dinero en cierre de caja
- Ver descargo de stock
 - Enviar por whatsApp</t>
  </si>
  <si>
    <t>Hacer pedido con descuento global</t>
  </si>
  <si>
    <t>- Guardar el pedido y utilizarlo sin mayores inconvenientes</t>
  </si>
  <si>
    <t>Ticket de Egreso</t>
  </si>
  <si>
    <t>- Ver movimiento de dinero (salida) en cierre de caja
- Imprimir ticket, imprimir A4</t>
  </si>
  <si>
    <t>Ticket de Egreso al 10%</t>
  </si>
  <si>
    <t>- Ver movimiento de dinero (salida) en cierre de caja
- Enviar por whatsApp</t>
  </si>
  <si>
    <t>Nota de credito de una boleta</t>
  </si>
  <si>
    <t>- Ver movimiento de dinero (salida) en cierre de caja
- Imprimir ticket, imprimir A4
- Descargar PDF, descargar XML</t>
  </si>
  <si>
    <t>Ver comprobantes en cierre de caja</t>
  </si>
  <si>
    <t>- Se deben listar todos los comprobantes emitidos</t>
  </si>
  <si>
    <t>Dar de baja un comprobante</t>
  </si>
  <si>
    <t>- Ver movimiento de dinero (salida) en cierre de caja si el comprobante fue emitido al contado</t>
  </si>
  <si>
    <t>Exportar cierre de caja</t>
  </si>
  <si>
    <t xml:space="preserve">- Por PDF
- Por Excel </t>
  </si>
  <si>
    <t>Finanzas</t>
  </si>
  <si>
    <t>Pago de comprobante por búsqueda de comprobantes a caja de finanzas</t>
  </si>
  <si>
    <t>- Ver ingreso de dinero en caja</t>
  </si>
  <si>
    <t>Pago de comprobante por búsqueda de comprobantes a caja de puntoventa</t>
  </si>
  <si>
    <t>Realizar cobro</t>
  </si>
  <si>
    <t>Realizar pago</t>
  </si>
  <si>
    <t>- Ver salida de dinero en caja</t>
  </si>
  <si>
    <t>Realizar cobro desde reporte cuentas por cobrar</t>
  </si>
  <si>
    <t>Cancelar pago</t>
  </si>
  <si>
    <t>Realizar compra</t>
  </si>
  <si>
    <t>Realizar nota de credito de la compra</t>
  </si>
  <si>
    <t>Subir voucher de pago</t>
  </si>
  <si>
    <t>- Subida correcta de voucher de pago</t>
  </si>
  <si>
    <t>Validar pago en Mis deudores</t>
  </si>
  <si>
    <t>- Ingreso de dinero en caja seleccionada
- Disminuir cantidad de deuda en cliente</t>
  </si>
  <si>
    <t>Descargar excel de la búsqueda - ítems</t>
  </si>
  <si>
    <t>- Descarga correcta</t>
  </si>
  <si>
    <t>Crear insumo</t>
  </si>
  <si>
    <t>Crear bien gravado descripción con caracteres especiales y realizar movimientos rápidos</t>
  </si>
  <si>
    <t>- Listado en mantenimiento de ítems
- Realizar ingreso y salida rápida(revisar inventario y kardex)</t>
  </si>
  <si>
    <t>Crear bien ISC sistema al valor con control flexible</t>
  </si>
  <si>
    <t>Crear bien con lotes</t>
  </si>
  <si>
    <t>- Realizar ingreso avanzado (ver kardex)
- Realizar venta de ese ítem (ver inventario y Kardex)</t>
  </si>
  <si>
    <t>Crear servicio Gravado</t>
  </si>
  <si>
    <t>- Descargar PDF
- Ver movimiento de stock en inventario y kardex</t>
  </si>
  <si>
    <t>Realizar salida</t>
  </si>
  <si>
    <t>Realizar ajuste</t>
  </si>
  <si>
    <t>Realizar traslado con confirmación manual</t>
  </si>
  <si>
    <t xml:space="preserve"> - Ver movimiento de stock en inventario y kardex</t>
  </si>
  <si>
    <t>Realizar traslado sin  confirmación manual</t>
  </si>
  <si>
    <t>Realizar compra (ver compra)</t>
  </si>
  <si>
    <t>Crear combo desplegable (item estricto y flexible)</t>
  </si>
  <si>
    <t>- Realizar venta por facturación
- Ver descarga de stock en inventario y kardex</t>
  </si>
  <si>
    <t>Crear combo no desplegable (item estricto y flexible)</t>
  </si>
  <si>
    <t>- Realizar venta por punto de venta
- Ver descarga de stock en inventario y kardex</t>
  </si>
  <si>
    <t>Crear equivalencia</t>
  </si>
  <si>
    <t>- Realizar venta por punto de venta
- Ver descarga de stock en inventario y kardex del bien base</t>
  </si>
  <si>
    <t>Creación masiva de ítems</t>
  </si>
  <si>
    <t xml:space="preserve">Emisión de boleta boleta con ítem estricto sin stock </t>
  </si>
  <si>
    <r>
      <rPr>
        <rFont val="Comfortaa"/>
        <color theme="1"/>
        <sz val="10.0"/>
      </rPr>
      <t xml:space="preserve">Pasos:
- Tener un item estricto con stock
- Guardar una boleta con el ítem estricto
- Dejar sin stock el ítem estricto
- Intentar emitir la boleta guardada
</t>
    </r>
    <r>
      <rPr>
        <rFont val="Comfortaa"/>
        <b/>
        <color rgb="FFFF0000"/>
        <sz val="10.0"/>
      </rPr>
      <t>No debe dejar emitir el comprobante</t>
    </r>
  </si>
  <si>
    <t>Clientes y Proveedores</t>
  </si>
  <si>
    <t>Crear cliente por interfaz clientes</t>
  </si>
  <si>
    <t>- Emitir una boleta con ese cliente</t>
  </si>
  <si>
    <t>Editar cliente por interfaz clientes</t>
  </si>
  <si>
    <t>Exportar excel</t>
  </si>
  <si>
    <t>Crear cliente desde interfaz de facturación</t>
  </si>
  <si>
    <t>Crear proveedor desde compras (logística)</t>
  </si>
  <si>
    <t>Hoteles</t>
  </si>
  <si>
    <t>Crear reserva</t>
  </si>
  <si>
    <t>- Reservar habiltación</t>
  </si>
  <si>
    <t>Hacer pre pago</t>
  </si>
  <si>
    <t>Hacer consumo</t>
  </si>
  <si>
    <t>- Agregar consumo a la reserva.</t>
  </si>
  <si>
    <t>Emitir comprobante</t>
  </si>
  <si>
    <t>- Facturar todo
- Ver comprobante en búsqueda de comprobantes</t>
  </si>
  <si>
    <t>Colegios</t>
  </si>
  <si>
    <t>Registrar estudiante</t>
  </si>
  <si>
    <t>- Listado en Gestión de estudiantes</t>
  </si>
  <si>
    <t>Matricular estudiante</t>
  </si>
  <si>
    <t>- Emisión de comprobante de matrícula</t>
  </si>
  <si>
    <t>Pagar pensión estudiante</t>
  </si>
  <si>
    <t>- Emisión de comprobante de pago de pensión
- Listado en búsqueda de comprobantes
- Ver bitácora
- Ingreso de dinero en caja de punto de venta</t>
  </si>
  <si>
    <t>Dar de baja pensión</t>
  </si>
  <si>
    <t>- Salida de dinero en caja de punto de venta
- Casilla en blanco</t>
  </si>
  <si>
    <t>BACK</t>
  </si>
  <si>
    <t>Crear tienda</t>
  </si>
  <si>
    <t>- Crear una tienda y verificar la visibilidad de la misma</t>
  </si>
  <si>
    <t>Agregar/ modificar ítems de tu tienda</t>
  </si>
  <si>
    <t xml:space="preserve">- Verificar que en modal de "Habilitar ítems" sigan apareciendo los ítems
   * Producto 
        - Normales
        - Equivalencia (deben aparecer todos)
        - Variantes (Solo los hijos)
        - Selectores (aparece como un ítem normal)
   * Servicio    
   * Combo 
   * Receta </t>
  </si>
  <si>
    <t>Reporte de pedidos</t>
  </si>
  <si>
    <t>Reporte de pedidos por producto</t>
  </si>
  <si>
    <t>Ver pedido</t>
  </si>
  <si>
    <t>- Visualizar pedido desde Punto de venta
- Verificar los datos del cliente (sin documento)
- Ver detalles del pedidos en observaciones</t>
  </si>
  <si>
    <t>Facturar pedido</t>
  </si>
  <si>
    <t>- Convertir pedido a Boleta/Factura/Nota de venta</t>
  </si>
  <si>
    <t>FRONT</t>
  </si>
  <si>
    <t>Ver productos de distintos tipos</t>
  </si>
  <si>
    <t>- Ver ítem habilitados en tienda
- Ver solo categorias de los ítems activados</t>
  </si>
  <si>
    <t xml:space="preserve">Ver Equivalencias y variantes </t>
  </si>
  <si>
    <t>- En variantes solo se muestran los hijos
- En equivalencia se muestran todos
- La informacion adicional de tienda se comparte entre todos lo mismo</t>
  </si>
  <si>
    <t>Ver combos y recetas</t>
  </si>
  <si>
    <t>- Tienen un detallado de los items que contienen
- Si es con stock automatico, se debe regir según el stock de los ítems que componen el combo/receta</t>
  </si>
  <si>
    <t>Realizar pedidos</t>
  </si>
  <si>
    <t>- Permitir crear pedidos</t>
  </si>
  <si>
    <t>Año Nuevo</t>
  </si>
  <si>
    <t>Jueves Santo</t>
  </si>
  <si>
    <t>Estado</t>
  </si>
  <si>
    <t>Cantidad</t>
  </si>
  <si>
    <t>Viernes Santo</t>
  </si>
  <si>
    <t>Día del Trabajo</t>
  </si>
  <si>
    <t>Corregido sin Subir</t>
  </si>
  <si>
    <t>San Pedro y San Pablo</t>
  </si>
  <si>
    <t>En Curso</t>
  </si>
  <si>
    <t>Fiestas Patrias (Primer día)</t>
  </si>
  <si>
    <t>Fiestas Patrias (Segundo día)</t>
  </si>
  <si>
    <t>Santa Rosa de Lima</t>
  </si>
  <si>
    <t>Pendiente</t>
  </si>
  <si>
    <t>Combate de Angamos</t>
  </si>
  <si>
    <t>Rechazado por QA</t>
  </si>
  <si>
    <t>Día de Todos los Santos</t>
  </si>
  <si>
    <t>Inmaculada Concepción</t>
  </si>
  <si>
    <t>Batalla de Ayacucho</t>
  </si>
  <si>
    <t>Navidad</t>
  </si>
  <si>
    <t>Total de observaciones</t>
  </si>
  <si>
    <t>Pendientes con más de 3 días</t>
  </si>
  <si>
    <t>REPORTE QA - SUBIDA</t>
  </si>
  <si>
    <t>Información General</t>
  </si>
  <si>
    <t>MVP</t>
  </si>
  <si>
    <t>Fecha/hora inicio</t>
  </si>
  <si>
    <t>Fecha/hora fin</t>
  </si>
  <si>
    <t>Responsable QA</t>
  </si>
  <si>
    <t xml:space="preserve">Apoyo QA </t>
  </si>
  <si>
    <t>Responsable Agile</t>
  </si>
  <si>
    <t>Alcance del Release</t>
  </si>
  <si>
    <r>
      <rPr>
        <rFont val="Calibri, sans-serif"/>
        <color rgb="FF000000"/>
        <sz val="11.0"/>
      </rPr>
      <t xml:space="preserve">Módulos afectados
</t>
    </r>
    <r>
      <rPr>
        <rFont val="Calibri, sans-serif"/>
        <color rgb="FF666666"/>
        <sz val="11.0"/>
      </rPr>
      <t>Ejm: Facturación, PuntoVenta, Configuraciones</t>
    </r>
  </si>
  <si>
    <t>Pruebas realizadas</t>
  </si>
  <si>
    <t>Tipo</t>
  </si>
  <si>
    <t>Ejecutado</t>
  </si>
  <si>
    <t>Evidencias (screenshots, logs)</t>
  </si>
  <si>
    <t xml:space="preserve">Regresión Manual (checklist) </t>
  </si>
  <si>
    <t>Regresión Automatizada</t>
  </si>
  <si>
    <t>Integración API</t>
  </si>
  <si>
    <t>Estrés</t>
  </si>
  <si>
    <t xml:space="preserve">* Comportamientos raros	
* UX/usabilidad	
* Validaciones iincompletas	
* Performance leve	
* Dependencias externas, cuando no se puede probar los servicios externos en producción	
* Datos inconsistentes	
* Funcionalidad parcial o incompleta	
* Casos no cubiertos	
* Observaciones del agile	</t>
  </si>
  <si>
    <t>Validaciones en producción Post Deploy</t>
  </si>
  <si>
    <t>BD actualizada</t>
  </si>
  <si>
    <t xml:space="preserve"> </t>
  </si>
  <si>
    <t>Kafka estable</t>
  </si>
  <si>
    <t>Redis correcto</t>
  </si>
  <si>
    <t>Nivel Detección</t>
  </si>
  <si>
    <t>Tipo Incidencia</t>
  </si>
  <si>
    <t>Responsables de revision</t>
  </si>
  <si>
    <t>Responsable de Correcciones</t>
  </si>
  <si>
    <t>Crítico</t>
  </si>
  <si>
    <t>Alta</t>
  </si>
  <si>
    <t>FUNCIONAL</t>
  </si>
  <si>
    <t>Flor</t>
  </si>
  <si>
    <t>No crítico</t>
  </si>
  <si>
    <t>Intermedia</t>
  </si>
  <si>
    <t>DISEÑO</t>
  </si>
  <si>
    <t>Vicky</t>
  </si>
  <si>
    <t>Baja</t>
  </si>
  <si>
    <t>OTROS</t>
  </si>
  <si>
    <t>Gean</t>
  </si>
  <si>
    <t>Mejora</t>
  </si>
  <si>
    <t>Emily</t>
  </si>
  <si>
    <t>Diego</t>
  </si>
  <si>
    <t>Romel</t>
  </si>
  <si>
    <t>Jhunior</t>
  </si>
  <si>
    <t>Luiggi</t>
  </si>
  <si>
    <t>Equipo</t>
  </si>
  <si>
    <t>Maria</t>
  </si>
  <si>
    <t>Italo(Comercial)</t>
  </si>
  <si>
    <t>PASOS</t>
  </si>
  <si>
    <t>FUNCIONALIDAD</t>
  </si>
  <si>
    <t>VALIDACIONES</t>
  </si>
  <si>
    <t>PASO 1</t>
  </si>
  <si>
    <t>ELEGIR TIPO ITEM</t>
  </si>
  <si>
    <t>PASO 2</t>
  </si>
  <si>
    <t>PERSONALIZAR PLANTILLA</t>
  </si>
  <si>
    <t>PARA PRODUCTOS Y SERVICIOS -&gt; CAMPOS OBLIGATORIOS SON DESCRIPCION, PRECIO SOLES Y TIPO AFECTACION.
 PARA INSUMOS -&gt; CAMPOS OBLIGATORIOS SON DESCRIPCION Y TIPO AFECTACION.</t>
  </si>
  <si>
    <t>SI FAMILIA O CATEGORIA SE MARCAN TIENEN QUE MARCARSE LOS DOS, SI SUBCATEGORIA SE MARCA TAMBIEN FAMILIA Y CATEGORIA Y SI TIPO SE MARCA TAMBIEN LOS 3 ANTERIORES. DEBEN SEGUIR LAS MISMAS REGLAS AL DESMARCARSE.</t>
  </si>
  <si>
    <t>LOS CAMPOS LOTE, FECHA VENCIMIENTO Y STOCK TIENEN RELACION, SI SE MARCA FECHA O STOCK TIENE QUE MARCARSE STOCK Y CONTROL DE LOTES, SI SOLO SE MARCA STOCK NO SE MARCA FECHA , LOTE Y CONTROL DE LOTES.</t>
  </si>
  <si>
    <t>PARA SERVICIOS -&gt; NO SE DEBEN MOSTRAR LOS CAMPOS LOTE, STOCK, FECHA DE VENCIMIENTO, CONTROL DE LOTES, CONTROL DE STOCK ESTRICTO Y FLEXIBLE.
 PARA INSUMOS -&gt; NO SE DEBEN MOSTRAR LOS CAMPOS DE PRECIOS SOLES, DOLARES Y EUROS.</t>
  </si>
  <si>
    <t>PARA EL CAMPO UNIDAD DEBE SELECCIONARSE TAMBIEN EL CAMPO EQUIVALENTE SUNAT, A SU VEZ SI SE DESMARCA UNIDAD DEBE DESMARCARSE EQUIVALENTE SUNAT PERO SI SE DESMARCA EQUIVALENTE SUNAT NO SE DESMARCA UNIDAD</t>
  </si>
  <si>
    <t>CARGAR PLANTILLA</t>
  </si>
  <si>
    <t>VERIFICAR ARCHIVO EN BLANCO</t>
  </si>
  <si>
    <t>VERIFICAR ARCHIVO TENGA CABECERA</t>
  </si>
  <si>
    <t>VERFIFICAR NUMERO DE ITEMS NO SUPERE LOS 1000</t>
  </si>
  <si>
    <t>VERIFICAR EXTENSION DE ARCHIVO EXCEL</t>
  </si>
  <si>
    <t>VERIFICAR QUE SE CARGUE UN ARCHIVO</t>
  </si>
  <si>
    <t>PASO 3</t>
  </si>
  <si>
    <t>AGIGNAR COLUMNAS</t>
  </si>
  <si>
    <t>CAMPOS OBLIGATORIOS SE MANTIENE MISMA REGLA QUE PERSONALIZAR PLANTILLA</t>
  </si>
  <si>
    <t>SE MANTIENE MISMA RELACION QUE PERSONALIZAR PLANTILLA, OSEA FAMILIA, CATEGORIA, SUBCATEGORIA Y TIPO</t>
  </si>
  <si>
    <t>SE MANTIENE MISMA RELACION QUE PERSONALIZAR PLANTILLA, OSEA FECHA VENCIMIENTO, LOTE Y STOCK</t>
  </si>
  <si>
    <t>VERIFICAR SELECCIÓN DE CABECERAS REPETIDAS</t>
  </si>
  <si>
    <t>PUEDEN SER SELECCIONES REPETIDAS LA OPCION IGNORAR COLUMNA</t>
  </si>
  <si>
    <t>UNIDAD Y EQUIVALENTE SUNAT MANTIENE MISMA RELACION QUE PERSONALIZAR</t>
  </si>
  <si>
    <t>PASO 4</t>
  </si>
  <si>
    <t>ASIGNAR ALMACENES</t>
  </si>
  <si>
    <t>SOLO SE MOSTRARAN ALMACENES EN TIPO DE ÍTEM PRODUCTOS E INSUMOS, PARA SERVICIOS, COMBOS Y RECETAS SE MOSTRARAN SUCURSALES</t>
  </si>
  <si>
    <t>ELEGIR AL MENOS UN ALMACEN O SUCURSAL DEPENDIENDO DEL TIPO DE ÍTEM</t>
  </si>
  <si>
    <t>EN GENERAL SI UN CAMPO SE SELECCIONA PARA IMPORTAR ESTE DEBE TENER UN VALOR NO PUEDE SER VACIO</t>
  </si>
  <si>
    <t>CAMPOS</t>
  </si>
  <si>
    <t>VALIDACION</t>
  </si>
  <si>
    <t>TIPO CODIGO BARRAS</t>
  </si>
  <si>
    <t>SOLO ACEPTA VALORES GTIN-8 Y PROPIO</t>
  </si>
  <si>
    <t>CODIGO DE BARRAS</t>
  </si>
  <si>
    <t>NO DEBE ESTAR REPETIDO EN EL EXCEL</t>
  </si>
  <si>
    <t>CODIGO SUNAT</t>
  </si>
  <si>
    <t>DEBE ESTAR REGISTRADO EN EL SISTEMA</t>
  </si>
  <si>
    <t>SI TIPO CODIGO BARRAS ES PROPIO: SE VALIDARA SI EL CODIGO SUNAT EXISTE EN EL CATALOGO SUNAT, NO PUEDE CREARSE.
SI TIPO CODIGO BARRAS ES GTIN8: EL CODIGO SUNAT TOMARA EL VALOR DEL CODIGO DE BARRAS ASI SE HAYA COLOCADO UN VALOR EN EL CAMPO</t>
  </si>
  <si>
    <t>CODIGO ITEM</t>
  </si>
  <si>
    <r>
      <rPr>
        <rFont val="Calibri, sans-serif"/>
        <strike/>
        <color rgb="FF000000"/>
        <sz val="11.0"/>
      </rPr>
      <t>&gt;NO SOBREPASAR 50 CARACTERES</t>
    </r>
    <r>
      <rPr>
        <rFont val="Calibri, sans-serif"/>
        <color rgb="FF000000"/>
        <sz val="11.0"/>
      </rPr>
      <t xml:space="preserve">
</t>
    </r>
    <r>
      <rPr>
        <rFont val="Calibri, sans-serif"/>
        <strike/>
        <color rgb="FF000000"/>
        <sz val="11.0"/>
      </rPr>
      <t xml:space="preserve"> &gt;NO CONTENER CARACTERES NO VALIDOS</t>
    </r>
    <r>
      <rPr>
        <rFont val="Calibri, sans-serif"/>
        <color rgb="FF000000"/>
        <sz val="11.0"/>
      </rPr>
      <t xml:space="preserve">
</t>
    </r>
    <r>
      <rPr>
        <rFont val="Calibri, sans-serif"/>
        <strike/>
        <color rgb="FF000000"/>
        <sz val="11.0"/>
      </rPr>
      <t xml:space="preserve"> &gt;NO SER RESERVADO PARA EL SISTEMA</t>
    </r>
    <r>
      <rPr>
        <rFont val="Calibri, sans-serif"/>
        <color rgb="FF000000"/>
        <sz val="11.0"/>
      </rPr>
      <t xml:space="preserve">
</t>
    </r>
    <r>
      <rPr>
        <rFont val="Calibri, sans-serif"/>
        <strike/>
        <color rgb="FF000000"/>
        <sz val="11.0"/>
      </rPr>
      <t xml:space="preserve"> &gt;NO DEBE EXISTIR EN EL SISTEMA</t>
    </r>
    <r>
      <rPr>
        <rFont val="Calibri, sans-serif"/>
        <color rgb="FF000000"/>
        <sz val="11.0"/>
      </rPr>
      <t xml:space="preserve">
</t>
    </r>
    <r>
      <rPr>
        <rFont val="Calibri, sans-serif"/>
        <strike/>
        <color rgb="FF000000"/>
        <sz val="11.0"/>
      </rPr>
      <t xml:space="preserve"> &gt;NO DEBE ESTAR REPETIDO EN EL EXCEL</t>
    </r>
  </si>
  <si>
    <t>UNIDAD</t>
  </si>
  <si>
    <t>MARCA</t>
  </si>
  <si>
    <t>PRECIO VENTA SOLES</t>
  </si>
  <si>
    <t>&gt;NO PUEDE SER UN VALOR NEGATIVO
 &gt;NO PUEDE SER UN TEXTO O STRING</t>
  </si>
  <si>
    <t>PRECIO VENTA DOLARES</t>
  </si>
  <si>
    <t>PRECIO VENTA EUROS</t>
  </si>
  <si>
    <t>COSTO INICIAL SOLES</t>
  </si>
  <si>
    <t>COSTO INICIAL DOLARES</t>
  </si>
  <si>
    <t>COSTO INICIAL EUROS</t>
  </si>
  <si>
    <t>STOCK MINIMO</t>
  </si>
  <si>
    <t>TIPO PRECIO UNITARIO</t>
  </si>
  <si>
    <t>SOLO ACEPTA "PRECIO UNITARIO (VENTAS)" Y "PRODUCTO PARA REGALO O BONIFICACION"</t>
  </si>
  <si>
    <t>TIPO AFECTACION IGV</t>
  </si>
  <si>
    <t>&gt;SI PRECIO UNITARIO ES PRECIO VENTAS SOLO ACEPTA: {"GRAVADO - PAGA IGV"},
  {"EXONERADO - NO PAGA IGV"},
  {"INAFECTO - NO PAGA IGV"}
 &gt;SI PRECIO UNITARIO ES REGALO O BONIFICACION SOLO ACEPTA:
 {"GRAVADO - RETIRO POR PREMIO"},
  {"GRAVADO - RETIRO POR DONACION"},
  {"GRAVADO - RETIRO"},
  {"GRAVADO - RETIRO POR PUBLICIDAD"},
  {"GRAVADO - BONIFICACIONES"},
  {"GRAVADO - RETIRO POR ENTREGA A TRABAJADORES"},
  {"EXONERADO - TRANSFERENCIA GRATUITA"},
  {"INAFECTO - RETIRO POR BONIFICACION"},
  {"INAFECTO - RETIRO"},
  {"INAFECTO - RETIRO POR MUESTRAS MEDICAS"},
  {"INAFECTO - RETIRO POR CONVENIO COLECTIVO"},
  {"INAFECTO - RETIRO POR PREMIO"},
  {"INAFECTO - RETIRO POR PUBLICIDAD"},
  {"EXPORTACION"}</t>
  </si>
  <si>
    <t>CONTROL STOCK FLEXIBLE</t>
  </si>
  <si>
    <t>&gt;SOLO ACEPTA VALORES SI y NO
 &gt;SI CONTROL FLEXIBLE ES SI NO REQUIERE CONTROL ESTRICTO SI</t>
  </si>
  <si>
    <t>CONTROL STOCK ESTRICTO</t>
  </si>
  <si>
    <t>SOLO ACEPTA VALORES SI y NO</t>
  </si>
  <si>
    <t>CONTROL DE LOTE</t>
  </si>
  <si>
    <t>&gt;SOLO ACEPTA VALORES SI y NO
 &gt;SI CONTROL DE LOTE ES SI TAMBIEN DEBE SERLO CONTROL ESTRICTO</t>
  </si>
  <si>
    <t>FAMILIA</t>
  </si>
  <si>
    <t>CATEGORIA</t>
  </si>
  <si>
    <t>SUBCATEGORIA</t>
  </si>
  <si>
    <t>DEBE ESTAR REGISTRADO EN EL SISTEMA PARA LA CATEGORIA DESIGNADA</t>
  </si>
  <si>
    <t>TIPO</t>
  </si>
  <si>
    <t>DEBE ESTAR REGISTRADO EN EL SISTEMA PARA LA SUBCATEGORIA DESIGNADA</t>
  </si>
  <si>
    <t>PRODUCTOS, SERVICIOS E INSUMOS</t>
  </si>
  <si>
    <t>&gt;NO DEBE ESTAR REPETIDO EN EL EXCEL
&gt;NO DEBE EXISTIR EN EL SISTEMA</t>
  </si>
  <si>
    <t>&gt;SI TIPO CODIGO BARRAS ES PROPIO: SE VALIDARA SI EL CODIGO SUNAT EXISTE EN EL CATALOGO SUNAT, NO PUEDE CREARSE. 
&gt;SI TIPO CODIGO BARRAS ES GTIN8: EL CODIGO SUNAT TOMARA EL VALOR DEL CODIGO DE BARRAS ASI SE HAYA COLOCADO UN VALOR EN EL CAMPO</t>
  </si>
  <si>
    <t>&gt;NO SOBREPASAR 50 CARACTERES
&gt;NO CONTENER CARACTERES NO VALIDOS
&gt;NO SER RESERVADO PARA EL SISTEMA
&gt;NO DEBE EXISTIR EN EL SISTEMA
&gt;NO DEBE ESTAR REPETIDO EN EL EXCEL</t>
  </si>
  <si>
    <t>DESCRIPCION</t>
  </si>
  <si>
    <t>&gt;NO PUEDE ESTAR VACIO, DEBE TENER UN VALOR
&gt;NO DEBE SOBEPASAR LOS 500 CARACTERES</t>
  </si>
  <si>
    <t>SI NO ESTA REGISTRADO EN EL SISTEMA SE CREA PERO NECESITA LLENAR EL CAMPOEQUIVALENTE SUNAT</t>
  </si>
  <si>
    <t>EQUIVALENTE SUNAT</t>
  </si>
  <si>
    <t>DEBE EXISTIR EN EL CATALOGO DE UNIDADES DE SUNAT</t>
  </si>
  <si>
    <t>&gt;NO PUEDE SER UN VALOR NEGATIVO
&gt;NO PUEDE SER UN TEXTO O STRING
&gt;POR DEFECTO SI NO HAY VALOR IRA CON CERO</t>
  </si>
  <si>
    <t>&gt;SI PRECIO UNITARIO ES PRECIO VENTAS SOLO ACEPTA: 
 {"GRAVADO - PAGA IGV"},
 {"EXONERADO - NO PAGA IGV"},
 {"INAFECTO - NO PAGA IGV"}
&gt;SI PRECIO UNITARIO ES REGALO O BONIFICACION SOLO ACEPTA:
 {"GRAVADO - RETIRO POR PREMIO"},
 {"GRAVADO - RETIRO POR DONACION"},
 {"GRAVADO - RETIRO"},
 {"GRAVADO - RETIRO POR PUBLICIDAD"},
 {"GRAVADO - BONIFICACIONES"},
 {"GRAVADO - RETIRO POR ENTREGA A TRABAJADORES"},
 {"EXONERADO - TRANSFERENCIA GRATUITA"},
 {"INAFECTO - RETIRO POR BONIFICACION"},
 {"INAFECTO - RETIRO"},
 {"INAFECTO - RETIRO POR MUESTRAS MEDICAS"},
 {"INAFECTO - RETIRO POR CONVENIO COLECTIVO"},
 {"INAFECTO - RETIRO POR PREMIO"},
 {"INAFECTO - RETIRO POR PUBLICIDAD"}</t>
  </si>
  <si>
    <t>&gt;SOLO ACEPTA VALORES SI y NO
&gt;SI CONTROL FLEXIBLE ES SI NO REQUIERE CONTROL ESTRICTO SI O CONTROL DE LOTES SI</t>
  </si>
  <si>
    <t>SOLO ACEPTA VALORES SI y NO
&gt;SI CONTROL ESTRICTO ES SI NO REQUIERE CONTROL FLEXIBLE SI PERO PUEDE TENER CONTROL DE LOTES SI</t>
  </si>
  <si>
    <t>&gt;SOLO ACEPTA VALORES SI y NO
&gt;SI CONTROL DE LOTE ES SI TAMBIEN DEBE SERLO CONTROL ESTRICTO</t>
  </si>
  <si>
    <t>SI NO ESTA REGISTRADO EN EL SISTEMA SE CREA</t>
  </si>
  <si>
    <t>SI NO ESTA REGISTRADO EN EL SISTEMA SE CREA PARA LA CATEGORIA DESIGNADA</t>
  </si>
  <si>
    <t>SI NO ESTA REGISTRADO EN EL SISTEMA SE CREA PARA LA SUBCATEGORIA DESIGNADA</t>
  </si>
  <si>
    <t>LOTE</t>
  </si>
  <si>
    <t>SI EL LOTE ES DIFERENTE DEL NUMERO DE LOTE POR DEFECTO(000000) REQUIERE CONTROL DE LOTE SI PARA PODER REGISTRAR ESE LOTE</t>
  </si>
  <si>
    <t>STOCK</t>
  </si>
  <si>
    <t>&gt;NO PUEDE SER UN VALOR NEGATIVO
&gt;NO PUEDE SER UN TEXTO O STRING
&gt;POR DEFECTO SI NO HAY VALOR IRA CON CERO
&gt;SI CONTROL DE LOTE ES NO, SE CREARA UN LOTE POR DEFECTO CON ESA CANTIDAD
&gt;SI CONTROL DE LOTE ES SI Y EL LOTE ES DIFERENTE DEL LOTE POR DEFECTO SE CREARAN DOS LOTES, UN LOTE POR DEFECTO CON LA CANTIDAD 0 Y OTRO LOTE CON EL VALOR DEL CAMPO LOTE TOMANDO LA CANTIDAD DEL CAMPO STOCK</t>
  </si>
  <si>
    <t>COMBOS</t>
  </si>
  <si>
    <t>CODIGO COMBO</t>
  </si>
  <si>
    <t>Debe llenarse el mismo valor para todo el combo</t>
  </si>
  <si>
    <t>codigo combo no puede estar repetido en el excel</t>
  </si>
  <si>
    <t>codigo combo no debe estar registrado en el sistema</t>
  </si>
  <si>
    <t>codigo combo no debe sobrepasar 50 caracteres</t>
  </si>
  <si>
    <t>codigo combo no debe tener caracteres no validos [#]</t>
  </si>
  <si>
    <t>No puede estar vacio, debe registrar un valor</t>
  </si>
  <si>
    <t>NO DEBE EXISTIR EN EL SISTEMA</t>
  </si>
  <si>
    <t>NO DEBE ESTAR REPITDO EN EL EXCEL</t>
  </si>
  <si>
    <t>DESPLEGAR COMBO</t>
  </si>
  <si>
    <t>Los unicos valores que acepta son SI y NO indistinto de mayusculas o minusculas</t>
  </si>
  <si>
    <t>No debe repetirse codigo item en el mismo combo</t>
  </si>
  <si>
    <t>Debe estar registrado en el sistema</t>
  </si>
  <si>
    <t>Si el combo no se despliega los items deben tener el mismo tipo de afectacion y el combo lo hereda</t>
  </si>
  <si>
    <t>CANTIDAD ITEM</t>
  </si>
  <si>
    <t>No puede ser un texto</t>
  </si>
  <si>
    <t>debe ser mayor a cero</t>
  </si>
  <si>
    <t>PRECIO SOLES ITEM</t>
  </si>
  <si>
    <t>Si el combo se despliega el precio soles debe ser mayor a cero salvo tenga afectacion gratuita</t>
  </si>
  <si>
    <t>No puede estar vacio, debe tener un valor</t>
  </si>
  <si>
    <t>No puede ser un valor negativo</t>
  </si>
  <si>
    <t>PRECIO DOLARES ITEM</t>
  </si>
  <si>
    <t>Si el combo se despliega el precio dolares debe ser mayor a cero salvo tenga afectacion gratuita</t>
  </si>
  <si>
    <t>PRECIO EUROS ITEM</t>
  </si>
  <si>
    <t>Si el combo se despliega el precio euros debe ser mayor a cero salvo tenga afectacion gratuita</t>
  </si>
  <si>
    <t>EN GENERAL</t>
  </si>
  <si>
    <t>Si un item tiene precio en alguna moneda, todos los items del combo deben tenerlo</t>
  </si>
  <si>
    <t>el precio del combo es la suma de la multiplicacion de cantidad por precio</t>
  </si>
  <si>
    <t>RECETAS</t>
  </si>
  <si>
    <t>CODIGO RECETA</t>
  </si>
  <si>
    <t>Debe llenarse el mismo valor para toda la receta</t>
  </si>
  <si>
    <t>codigo receta no puede estar repetido en el excel</t>
  </si>
  <si>
    <t>codigo receta no debe estar registrado en el sistema</t>
  </si>
  <si>
    <t>codigo receta no debe sobrepasar 50 caracteres</t>
  </si>
  <si>
    <t>codigo receta no debe tener caracteres no validos [#]</t>
  </si>
  <si>
    <t>No debe repetirse codigo item en la misma receta</t>
  </si>
  <si>
    <t>Debe estar registrado en el sistema, solo insumos</t>
  </si>
  <si>
    <t>&gt;SOLO ACEPTA "PRECIO UNITARIO (VENTAS)" Y "PRODUCTO PARA REGALO O BONIFICACION"
&gt;Debe llenarse el mismo valor para toda la receta</t>
  </si>
  <si>
    <t>&gt;Debe llenarse el mismo valor para toda la receta
&gt;SI PRECIO UNITARIO ES PRECIO VENTAS SOLO ACEPTA: 
 {"GRAVADO - PAGA IGV"},
 {"EXONERADO - NO PAGA IGV"},
 {"INAFECTO - NO PAGA IGV"}
&gt;SI PRECIO UNITARIO ES REGALO O BONIFICACION SOLO ACEPTA:
 {"GRAVADO - RETIRO POR PREMIO"},
 {"GRAVADO - RETIRO POR DONACION"},
 {"GRAVADO - RETIRO"},
 {"GRAVADO - RETIRO POR PUBLICIDAD"},
 {"GRAVADO - BONIFICACIONES"},
 {"GRAVADO - RETIRO POR ENTREGA A TRABAJADORES"},
 {"EXONERADO - TRANSFERENCIA GRATUITA"},
 {"INAFECTO - RETIRO POR BONIFICACION"},
 {"INAFECTO - RETIRO"},
 {"INAFECTO - RETIRO POR MUESTRAS MEDICAS"},
 {"INAFECTO - RETIRO POR CONVENIO COLECTIVO"},
 {"INAFECTO - RETIRO POR PREMIO"},
 {"INAFECTO - RETIRO POR PUBLICIDAD"}</t>
  </si>
  <si>
    <t>PRECIO SOLES RECETA</t>
  </si>
  <si>
    <t>Debe ser mayor a cero</t>
  </si>
  <si>
    <t>PRECIO DOLARES RECETA</t>
  </si>
  <si>
    <t>PRECIO EUROS RECETA</t>
  </si>
  <si>
    <t>precio unitario</t>
  </si>
  <si>
    <t>gravadas</t>
  </si>
  <si>
    <t>Precio con igv</t>
  </si>
  <si>
    <t>isc</t>
  </si>
  <si>
    <t>suma</t>
  </si>
  <si>
    <t>valor unitario</t>
  </si>
  <si>
    <t>igv</t>
  </si>
  <si>
    <t>total</t>
  </si>
  <si>
    <t>BIEN 130423 PUG CF - A</t>
  </si>
  <si>
    <t>INSUMO 130423 PUG CF - B</t>
  </si>
  <si>
    <t>SERVICIO 130423 PUG CF - C</t>
  </si>
  <si>
    <t>BIEN 130423 ISC(SISTEMA AL VALOR) PUG CF - D</t>
  </si>
  <si>
    <t>BIEN 130423 ISC(APLICACION AL MONTO FIJO 10) PUG CF - E</t>
  </si>
  <si>
    <t>BIEN 130423 ISC(SISTEMA DE PRECIOS DE VENTA AL PUBLICO 3.5) PUG CF - F</t>
  </si>
  <si>
    <t>BIEN 130423 ISC(SISTEMA AL VALOR 7.5) PUG CE - G</t>
  </si>
  <si>
    <t>BIEN 130423 ISC(APLICACION AL MONTO FIJO 10) PUG CE - H</t>
  </si>
  <si>
    <t>BIEN 130423 ISC(SISTEMA DE PRECIOS DE VENTA AL PUBLICO 3.5) PUG CE - I</t>
  </si>
  <si>
    <t>MODULO(US)</t>
  </si>
  <si>
    <t>INTERFAZ</t>
  </si>
  <si>
    <t>SUBMÓDULO</t>
  </si>
  <si>
    <t>COMPONENTE</t>
  </si>
  <si>
    <t>TestCase</t>
  </si>
  <si>
    <t>Detalle</t>
  </si>
  <si>
    <t>REFERENCIAS</t>
  </si>
  <si>
    <t>REVISION</t>
  </si>
  <si>
    <t>Carlos</t>
  </si>
  <si>
    <t>Configuracion empresa 1</t>
  </si>
  <si>
    <t>xxxxx</t>
  </si>
  <si>
    <t>DATOS DEL EMPRESA</t>
  </si>
  <si>
    <t>RUC</t>
  </si>
  <si>
    <t>Validar RUC</t>
  </si>
  <si>
    <t>Validar no este registrado (DUPLICADO)</t>
  </si>
  <si>
    <t>https://www.figma.com/file/IDOnz1HeOrs7C2tnulr16q/Temas-TiendaLink?node-id=361%3A11901</t>
  </si>
  <si>
    <t>Validar si esta registrado en SMART.CLIC</t>
  </si>
  <si>
    <t>Validar Tamaño del campo</t>
  </si>
  <si>
    <t>Validar minimo de caracteres permitidos</t>
  </si>
  <si>
    <t>Validar maximo de caracteres permitidos</t>
  </si>
  <si>
    <t>Validar campo nulo</t>
  </si>
  <si>
    <t>Razon Social</t>
  </si>
  <si>
    <t>DIRECCION</t>
  </si>
  <si>
    <t>Diseño</t>
  </si>
  <si>
    <t>Validar diseño</t>
  </si>
  <si>
    <t>Validar diseño segun figma</t>
  </si>
  <si>
    <t>PERSONA DE CONTACTO</t>
  </si>
  <si>
    <t>Nombre</t>
  </si>
  <si>
    <t>Validar nombre de la tarjeta</t>
  </si>
  <si>
    <t>Validar longitud min /max</t>
  </si>
  <si>
    <t>Validar vacio/nulo</t>
  </si>
  <si>
    <t xml:space="preserve">Validar espacios </t>
  </si>
  <si>
    <t>Revisar diseño del figma</t>
  </si>
  <si>
    <t>Correo</t>
  </si>
  <si>
    <t>Validar vacio</t>
  </si>
  <si>
    <t>Validar correo vacio</t>
  </si>
  <si>
    <t>Validar solo espacios</t>
  </si>
  <si>
    <t>Telefono</t>
  </si>
  <si>
    <t>Validar longitud</t>
  </si>
  <si>
    <t>Solo numeros</t>
  </si>
  <si>
    <t>Validar Vacio</t>
  </si>
  <si>
    <t>VINCULACIÓN SUNAT</t>
  </si>
  <si>
    <t>Usuario SOL</t>
  </si>
  <si>
    <t>Usuario Valido</t>
  </si>
  <si>
    <t>Valdar que el usuario ingresado sea valido</t>
  </si>
  <si>
    <t>Clave Sol</t>
  </si>
  <si>
    <t>xxxx</t>
  </si>
  <si>
    <t>SERIES ELECTRONICAS</t>
  </si>
  <si>
    <t>Serie</t>
  </si>
  <si>
    <t>https://www.figma.com/file/IDOnz1HeOrs7C2tnulr16q/Temas-TiendaLink?node-id=361%3A10363</t>
  </si>
  <si>
    <t>Correlativo</t>
  </si>
  <si>
    <t>Configuracion Cuenta</t>
  </si>
  <si>
    <t>Datos de la cuenta</t>
  </si>
  <si>
    <t xml:space="preserve">Nombre </t>
  </si>
  <si>
    <t>https://www.figma.com/file/IDOnz1HeOrs7C2tnulr16q/Temas-TiendaLink?node-id=361%3A11154</t>
  </si>
  <si>
    <t>Validar un acceso incorrecto</t>
  </si>
  <si>
    <t>Resaltar los campos a llenar</t>
  </si>
  <si>
    <t>Contraseña</t>
  </si>
  <si>
    <t xml:space="preserve">Correo </t>
  </si>
  <si>
    <t>Validar un acceso correcto</t>
  </si>
  <si>
    <t>DIEGO</t>
  </si>
  <si>
    <t>Cambiar contraseña</t>
  </si>
  <si>
    <t>Validar numero de telefono</t>
  </si>
  <si>
    <t xml:space="preserve">Solo numeros </t>
  </si>
  <si>
    <t>Validar el nombre completo</t>
  </si>
  <si>
    <t>Tener un maximo de caracteres y no ser muy cortos</t>
  </si>
  <si>
    <t>Validar correo valido</t>
  </si>
  <si>
    <t>https://prnt.sc/Z034pt2Y50pr</t>
  </si>
  <si>
    <t>Validar un maximo de caracteres contraseña</t>
  </si>
  <si>
    <t>30 caracteres</t>
  </si>
  <si>
    <t>Validar campos vacios</t>
  </si>
  <si>
    <t>Resaltar campos</t>
  </si>
  <si>
    <t>Validar un correo ya registrado.</t>
  </si>
  <si>
    <t>Cuenta duplicada</t>
  </si>
  <si>
    <t>Modal</t>
  </si>
  <si>
    <t>Validar modal resultante</t>
  </si>
  <si>
    <t>Recuperar contraseña</t>
  </si>
  <si>
    <t xml:space="preserve">Input-Modal </t>
  </si>
  <si>
    <t>Validar codigo de verificacion</t>
  </si>
  <si>
    <t>Input</t>
  </si>
  <si>
    <t>Validar correo existente</t>
  </si>
  <si>
    <t>Validar contraseña diferente</t>
  </si>
  <si>
    <t>Validar contraseña igual</t>
  </si>
  <si>
    <t xml:space="preserve">Modal </t>
  </si>
  <si>
    <t>V</t>
  </si>
  <si>
    <t>Input-cortina</t>
  </si>
  <si>
    <t>Validar contraseña actual</t>
  </si>
  <si>
    <t>Validar contraseña nueva</t>
  </si>
  <si>
    <t>Validar contraseña diferentes</t>
  </si>
  <si>
    <t>Validar camps vacios</t>
  </si>
  <si>
    <t>Validar mensaje resultante</t>
  </si>
  <si>
    <t>Editar informacion de la cuenta</t>
  </si>
  <si>
    <t>Back Tienda</t>
  </si>
  <si>
    <t>Registro</t>
  </si>
  <si>
    <t>Edicion</t>
  </si>
  <si>
    <t>QR</t>
  </si>
  <si>
    <t>Compartir</t>
  </si>
  <si>
    <t>Pagos</t>
  </si>
  <si>
    <t>Mantenimiento de Paquetes(ERP1)</t>
  </si>
  <si>
    <t>Proceso</t>
  </si>
  <si>
    <t>creación de Paquete Basico</t>
  </si>
  <si>
    <t>Segun Figma y segun la coordinacion con Italo</t>
  </si>
  <si>
    <t>Edicion de Paquee Basico</t>
  </si>
  <si>
    <t>Eliminacion de Paquete basico</t>
  </si>
  <si>
    <t>creación de Paquete Pruebas diseño</t>
  </si>
  <si>
    <t>creación de Paquete limite de comprobante</t>
  </si>
  <si>
    <t>Crear paquete que solo permita 5 comprobante como maximo</t>
  </si>
  <si>
    <t>creación de Plan 0</t>
  </si>
  <si>
    <t>creación de Plan negativo</t>
  </si>
  <si>
    <t>Paquetes y Recargas(Tuboleta)</t>
  </si>
  <si>
    <t>Caja</t>
  </si>
  <si>
    <t>Detalle del Paquete.</t>
  </si>
  <si>
    <t>Revisar el paquete de pruebas diseño</t>
  </si>
  <si>
    <t>Revisar diseño de Figma</t>
  </si>
  <si>
    <t>Boton</t>
  </si>
  <si>
    <t>Boton recargar , parte superior</t>
  </si>
  <si>
    <t>Redireccion al modulo de Recargas</t>
  </si>
  <si>
    <t>Pago con Mercado Pago CuentaMP Tarjeta</t>
  </si>
  <si>
    <t>Realizar pago con cuenta de mercado pago</t>
  </si>
  <si>
    <t>Pago con Mercado Pago Inv Tarjeta</t>
  </si>
  <si>
    <t>Realizar un pago que devuelva pago satisfactorio</t>
  </si>
  <si>
    <t>Pago con Mercado Pago Inv cajero</t>
  </si>
  <si>
    <t>Realizar un pago que devuelva pago en proceso</t>
  </si>
  <si>
    <t>Pago con Mercado Pago Tarjeta de Error</t>
  </si>
  <si>
    <t>Realizar un pago que devuelva pago rechazado / sin fondos</t>
  </si>
  <si>
    <t>Acumulacion de recargas</t>
  </si>
  <si>
    <t xml:space="preserve">Ver que sucede si se recargan </t>
  </si>
  <si>
    <t>En consulta</t>
  </si>
  <si>
    <t>Modal de Recarga exitosa</t>
  </si>
  <si>
    <t>Realizar pago satisfactorio</t>
  </si>
  <si>
    <t>Modal de Recarga en progreso</t>
  </si>
  <si>
    <t>Realizar pago  en proceso banca</t>
  </si>
  <si>
    <t>Realizar pago  en proceso agente</t>
  </si>
  <si>
    <t>Modal de Recarga  rechazada</t>
  </si>
  <si>
    <t>Realizar pago fallido sin fondos suficientes</t>
  </si>
  <si>
    <t>Realizar pago fallido datos no autorizados</t>
  </si>
  <si>
    <t>Pagos realizados</t>
  </si>
  <si>
    <t>Tabla</t>
  </si>
  <si>
    <t>Listado de Recargas</t>
  </si>
  <si>
    <t>Revisar listado de la tabla</t>
  </si>
  <si>
    <t>Estado Listo</t>
  </si>
  <si>
    <t>Recarga Pagado</t>
  </si>
  <si>
    <t>Revisar los estados</t>
  </si>
  <si>
    <t>Recarga en progreso</t>
  </si>
  <si>
    <t>Recarga  rechazada</t>
  </si>
  <si>
    <t>Descargar Comprobante</t>
  </si>
  <si>
    <t>Descargar comprobantes</t>
  </si>
  <si>
    <t>MercadoPago</t>
  </si>
  <si>
    <t>Gmail mensaje de confirmacion de Pago</t>
  </si>
  <si>
    <t>Revisar envio de Gmail</t>
  </si>
  <si>
    <t xml:space="preserve">Devolucion
</t>
  </si>
  <si>
    <t>Realizar devolucion  (mercodo o con Tarjeta de crédito)</t>
  </si>
  <si>
    <t>Detallo de Pagos</t>
  </si>
  <si>
    <t>Revisar las recargas realizadas.</t>
  </si>
  <si>
    <t>Sub módulo (Test case)</t>
  </si>
  <si>
    <t>Tareas del Sprint</t>
  </si>
  <si>
    <t>Fibonacci</t>
  </si>
  <si>
    <t>Peso Front</t>
  </si>
  <si>
    <t>Peso Back</t>
  </si>
  <si>
    <t>Peso DevOps</t>
  </si>
  <si>
    <t>Incidencias</t>
  </si>
  <si>
    <t>S18 Back</t>
  </si>
  <si>
    <t>S18 Front</t>
  </si>
  <si>
    <t>S19 Back</t>
  </si>
  <si>
    <t>S19 Front</t>
  </si>
  <si>
    <t>Logística</t>
  </si>
  <si>
    <t>Productos y Servicios</t>
  </si>
  <si>
    <t>Aumentar moneda Peso Chileno - front</t>
  </si>
  <si>
    <t>Aumentar moneda Peso Chileno - back</t>
  </si>
  <si>
    <t>Aumentar moneda Peso Chileno</t>
  </si>
  <si>
    <t>Nuevos documentos</t>
  </si>
  <si>
    <t>tarea 4</t>
  </si>
  <si>
    <t>tarea 5</t>
  </si>
  <si>
    <t>MÓDULO</t>
  </si>
  <si>
    <t>SUB MÓDULO</t>
  </si>
  <si>
    <t>SUB SUB MÓDULO</t>
  </si>
  <si>
    <t>COD INTERFAZ</t>
  </si>
  <si>
    <t>NOMBRE CAMPO</t>
  </si>
  <si>
    <t>TIPO CAMPO</t>
  </si>
  <si>
    <t>REGLAS DE NEGOCIO</t>
  </si>
  <si>
    <t>Nuevo comprobante</t>
  </si>
  <si>
    <t>Factura</t>
  </si>
  <si>
    <t>Número de documento</t>
  </si>
  <si>
    <t>Cuadro texto</t>
  </si>
  <si>
    <t>Si el documento no existe, muestra interfaz para registrar nuevo documento.</t>
  </si>
  <si>
    <t>Si existe documento, completa datos de otros campos.</t>
  </si>
  <si>
    <t>Productos/Servicios</t>
  </si>
  <si>
    <t>Productos o Servicios</t>
  </si>
  <si>
    <t>Ingreso/Salida rápido/a</t>
  </si>
  <si>
    <t>Botón de acción</t>
  </si>
  <si>
    <t>Los ítems con lotes no tienen habilitado estos botones de acción, igual que equivalencias.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</si>
</sst>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70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color theme="1"/>
      <name val="Arial"/>
    </font>
    <font/>
    <font>
      <sz val="11.0"/>
      <color theme="1"/>
      <name val="Arial"/>
    </font>
    <font>
      <b/>
      <color rgb="FF1F1F1F"/>
      <name val="Arial"/>
    </font>
    <font>
      <sz val="11.0"/>
      <color rgb="FF1F1F1F"/>
      <name val="Arial"/>
    </font>
    <font>
      <color theme="1"/>
      <name val="Arial"/>
      <scheme val="minor"/>
    </font>
    <font>
      <b/>
      <sz val="12.0"/>
      <color rgb="FFFFFFFF"/>
      <name val="Comfortaa"/>
    </font>
    <font>
      <b/>
      <sz val="13.0"/>
      <color rgb="FFFFFFFF"/>
      <name val="Comfortaa"/>
    </font>
    <font>
      <b/>
      <u/>
      <sz val="12.0"/>
      <color rgb="FFFFFFFF"/>
      <name val="Comfortaa"/>
    </font>
    <font>
      <u/>
      <sz val="12.0"/>
      <color rgb="FF0000FF"/>
      <name val="Comfortaa"/>
    </font>
    <font>
      <sz val="13.0"/>
      <color rgb="FF000000"/>
      <name val="Comfortaa"/>
    </font>
    <font>
      <sz val="13.0"/>
      <color theme="1"/>
      <name val="Comfortaa"/>
    </font>
    <font>
      <sz val="12.0"/>
      <color theme="1"/>
      <name val="Arial"/>
      <scheme val="minor"/>
    </font>
    <font>
      <sz val="12.0"/>
      <color rgb="FF000000"/>
      <name val="Arial"/>
    </font>
    <font>
      <sz val="13.0"/>
      <color rgb="FF000000"/>
      <name val="Arial"/>
    </font>
    <font>
      <sz val="12.0"/>
      <color theme="1"/>
      <name val="Comfortaa"/>
    </font>
    <font>
      <sz val="12.0"/>
      <color rgb="FF000000"/>
      <name val="Comfortaa"/>
    </font>
    <font>
      <b/>
      <sz val="12.0"/>
      <color theme="1"/>
      <name val="Comfortaa"/>
    </font>
    <font>
      <sz val="13.0"/>
      <color theme="1"/>
      <name val="Arial"/>
      <scheme val="minor"/>
    </font>
    <font>
      <sz val="12.0"/>
      <color rgb="FFEFEFEF"/>
      <name val="Comfortaa"/>
    </font>
    <font>
      <sz val="12.0"/>
      <color rgb="FFFFFFFF"/>
      <name val="Comfortaa"/>
    </font>
    <font>
      <u/>
      <sz val="12.0"/>
      <color rgb="FF1155CC"/>
      <name val="Comfortaa"/>
    </font>
    <font>
      <sz val="12.0"/>
      <color rgb="FF191919"/>
      <name val="Comfortaa"/>
    </font>
    <font>
      <u/>
      <sz val="12.0"/>
      <color rgb="FF1155CC"/>
      <name val="Comfortaa"/>
    </font>
    <font>
      <sz val="12.0"/>
      <color rgb="FF5B0F00"/>
      <name val="Comfortaa"/>
    </font>
    <font>
      <u/>
      <sz val="12.0"/>
      <color rgb="FF000000"/>
      <name val="Comfortaa"/>
    </font>
    <font>
      <b/>
      <sz val="19.0"/>
      <color rgb="FFFFFFFF"/>
      <name val="Comfortaa"/>
    </font>
    <font>
      <b/>
      <sz val="16.0"/>
      <color rgb="FFFFFFFF"/>
      <name val="Comfortaa"/>
    </font>
    <font>
      <sz val="11.0"/>
      <color theme="1"/>
      <name val="Comfortaa"/>
    </font>
    <font>
      <color theme="1"/>
      <name val="Comfortaa"/>
    </font>
    <font>
      <b/>
      <sz val="10.0"/>
      <color theme="1"/>
      <name val="Comfortaa"/>
    </font>
    <font>
      <b/>
      <color theme="1"/>
      <name val="Comfortaa"/>
    </font>
    <font>
      <sz val="10.0"/>
      <color theme="1"/>
      <name val="Comfortaa"/>
    </font>
    <font>
      <b/>
      <color rgb="FFFFFFFF"/>
      <name val="Comfortaa"/>
    </font>
    <font>
      <color rgb="FFFF0000"/>
      <name val="Arial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sz val="24.0"/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b/>
      <sz val="24.0"/>
      <color theme="1"/>
      <name val="Arial"/>
      <scheme val="minor"/>
    </font>
    <font>
      <b/>
      <sz val="36.0"/>
      <color theme="1"/>
      <name val="Arial"/>
      <scheme val="minor"/>
    </font>
    <font>
      <b/>
      <sz val="23.0"/>
      <color rgb="FF000000"/>
      <name val="Arial"/>
    </font>
    <font>
      <sz val="11.0"/>
      <color rgb="FFF7981D"/>
      <name val="Inconsolata"/>
    </font>
    <font>
      <i/>
      <sz val="15.0"/>
      <color rgb="FFFFFFFF"/>
      <name val="Arial"/>
      <scheme val="minor"/>
    </font>
    <font>
      <color rgb="FFFFFFFF"/>
      <name val="Arial"/>
      <scheme val="minor"/>
    </font>
    <font>
      <sz val="13.0"/>
      <color theme="1"/>
      <name val="Poppins"/>
    </font>
    <font>
      <sz val="13.0"/>
      <color rgb="FF980000"/>
      <name val="Poppins"/>
    </font>
    <font>
      <b/>
      <sz val="14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999999"/>
      <name val="Calibri"/>
    </font>
    <font>
      <sz val="11.0"/>
      <color rgb="FF666666"/>
      <name val="Calibri"/>
    </font>
    <font>
      <i/>
      <sz val="12.0"/>
      <color theme="1"/>
      <name val="Comfortaa"/>
    </font>
    <font>
      <sz val="12.0"/>
      <color rgb="FF434343"/>
      <name val="Comfortaa"/>
    </font>
    <font>
      <sz val="10.0"/>
      <color rgb="FF000000"/>
      <name val="Arial"/>
    </font>
    <font>
      <b/>
      <sz val="14.0"/>
      <color rgb="FF000000"/>
      <name val="Calibri"/>
    </font>
    <font>
      <sz val="12.0"/>
      <color rgb="FFFF0000"/>
      <name val="Arial"/>
      <scheme val="minor"/>
    </font>
    <font>
      <strike/>
      <sz val="11.0"/>
      <color rgb="FF000000"/>
      <name val="Calibri"/>
    </font>
    <font>
      <b/>
      <sz val="12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4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C9F376"/>
        <bgColor rgb="FFC9F376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EA4335"/>
        <bgColor rgb="FFEA4335"/>
      </patternFill>
    </fill>
    <fill>
      <patternFill patternType="solid">
        <fgColor rgb="FFA4C2F4"/>
        <bgColor rgb="FFA4C2F4"/>
      </patternFill>
    </fill>
  </fills>
  <borders count="5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shrinkToFit="0" vertical="bottom" wrapText="1"/>
    </xf>
    <xf borderId="4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Font="1"/>
    <xf borderId="4" fillId="4" fontId="3" numFmtId="0" xfId="0" applyAlignment="1" applyBorder="1" applyFill="1" applyFont="1">
      <alignment shrinkToFit="0" wrapText="1"/>
    </xf>
    <xf borderId="4" fillId="4" fontId="5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vertical="bottom"/>
    </xf>
    <xf borderId="4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4" fillId="4" fontId="2" numFmtId="0" xfId="0" applyBorder="1" applyFont="1"/>
    <xf borderId="4" fillId="4" fontId="7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 vertical="center"/>
    </xf>
    <xf borderId="4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4" fillId="3" fontId="2" numFmtId="0" xfId="0" applyAlignment="1" applyBorder="1" applyFont="1">
      <alignment vertical="bottom"/>
    </xf>
    <xf borderId="4" fillId="3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vertical="bottom"/>
    </xf>
    <xf borderId="0" fillId="0" fontId="3" numFmtId="0" xfId="0" applyAlignment="1" applyFont="1">
      <alignment shrinkToFit="0" vertical="center" wrapText="1"/>
    </xf>
    <xf borderId="4" fillId="2" fontId="2" numFmtId="0" xfId="0" applyAlignment="1" applyBorder="1" applyFont="1">
      <alignment shrinkToFit="0" vertical="center" wrapText="1"/>
    </xf>
    <xf borderId="4" fillId="2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center"/>
    </xf>
    <xf borderId="9" fillId="5" fontId="9" numFmtId="0" xfId="0" applyAlignment="1" applyBorder="1" applyFill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9" fillId="5" fontId="11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9" fillId="5" fontId="12" numFmtId="0" xfId="0" applyAlignment="1" applyBorder="1" applyFont="1">
      <alignment horizontal="center" readingOrder="0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ont="1">
      <alignment horizontal="center" readingOrder="0" shrinkToFit="0" vertical="center" wrapText="1"/>
    </xf>
    <xf borderId="2" fillId="7" fontId="13" numFmtId="0" xfId="0" applyAlignment="1" applyBorder="1" applyFill="1" applyFont="1">
      <alignment horizontal="center" readingOrder="0" shrinkToFit="0" vertical="center" wrapText="1"/>
    </xf>
    <xf borderId="2" fillId="7" fontId="13" numFmtId="0" xfId="0" applyAlignment="1" applyBorder="1" applyFont="1">
      <alignment horizontal="left" readingOrder="0" shrinkToFit="0" vertical="center" wrapText="1"/>
    </xf>
    <xf borderId="2" fillId="7" fontId="14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vertical="center"/>
    </xf>
    <xf borderId="2" fillId="7" fontId="16" numFmtId="0" xfId="0" applyAlignment="1" applyBorder="1" applyFont="1">
      <alignment horizontal="center" readingOrder="0" shrinkToFit="0" vertical="center" wrapText="1"/>
    </xf>
    <xf borderId="0" fillId="7" fontId="13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2" fillId="0" fontId="14" numFmtId="0" xfId="0" applyAlignment="1" applyBorder="1" applyFont="1">
      <alignment horizontal="left" readingOrder="0" shrinkToFit="0" vertical="center" wrapText="1"/>
    </xf>
    <xf borderId="2" fillId="7" fontId="17" numFmtId="0" xfId="0" applyAlignment="1" applyBorder="1" applyFont="1">
      <alignment horizontal="left" readingOrder="0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2" fillId="7" fontId="19" numFmtId="0" xfId="0" applyAlignment="1" applyBorder="1" applyFont="1">
      <alignment horizontal="left" readingOrder="0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2" fillId="7" fontId="17" numFmtId="0" xfId="0" applyAlignment="1" applyBorder="1" applyFont="1">
      <alignment horizontal="center" readingOrder="0" shrinkToFit="0" vertical="center" wrapText="1"/>
    </xf>
    <xf borderId="2" fillId="7" fontId="16" numFmtId="0" xfId="0" applyAlignment="1" applyBorder="1" applyFont="1">
      <alignment horizontal="left" readingOrder="0" shrinkToFit="0" vertical="center" wrapText="1"/>
    </xf>
    <xf borderId="9" fillId="6" fontId="10" numFmtId="0" xfId="0" applyAlignment="1" applyBorder="1" applyFont="1">
      <alignment horizontal="center" readingOrder="0" vertical="center"/>
    </xf>
    <xf borderId="9" fillId="6" fontId="10" numFmtId="0" xfId="0" applyAlignment="1" applyBorder="1" applyFont="1">
      <alignment horizontal="center" readingOrder="0" shrinkToFit="0" vertical="center" wrapText="1"/>
    </xf>
    <xf borderId="9" fillId="6" fontId="10" numFmtId="0" xfId="0" applyAlignment="1" applyBorder="1" applyFont="1">
      <alignment horizontal="center" readingOrder="0" shrinkToFit="0" vertical="center" wrapText="0"/>
    </xf>
    <xf borderId="9" fillId="7" fontId="13" numFmtId="0" xfId="0" applyAlignment="1" applyBorder="1" applyFont="1">
      <alignment horizontal="center" readingOrder="0" shrinkToFit="0" vertical="center" wrapText="1"/>
    </xf>
    <xf borderId="9" fillId="7" fontId="13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horizontal="center" readingOrder="0" vertical="center"/>
    </xf>
    <xf borderId="2" fillId="7" fontId="14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readingOrder="0" vertical="center"/>
    </xf>
    <xf borderId="2" fillId="7" fontId="14" numFmtId="0" xfId="0" applyAlignment="1" applyBorder="1" applyFont="1">
      <alignment horizontal="center" shrinkToFit="0" wrapText="1"/>
    </xf>
    <xf borderId="2" fillId="7" fontId="13" numFmtId="0" xfId="0" applyAlignment="1" applyBorder="1" applyFont="1">
      <alignment horizontal="left" readingOrder="0" shrinkToFit="0" vertical="center" wrapText="1"/>
    </xf>
    <xf borderId="2" fillId="7" fontId="14" numFmtId="0" xfId="0" applyAlignment="1" applyBorder="1" applyFont="1">
      <alignment horizontal="center" shrinkToFit="0" wrapText="1"/>
    </xf>
    <xf borderId="2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shrinkToFit="0" vertical="center" wrapText="1"/>
    </xf>
    <xf borderId="9" fillId="0" fontId="13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0"/>
    </xf>
    <xf borderId="9" fillId="0" fontId="21" numFmtId="0" xfId="0" applyAlignment="1" applyBorder="1" applyFont="1">
      <alignment horizontal="center" shrinkToFit="0" vertical="center" wrapText="0"/>
    </xf>
    <xf borderId="2" fillId="0" fontId="14" numFmtId="0" xfId="0" applyAlignment="1" applyBorder="1" applyFont="1">
      <alignment shrinkToFit="0" vertical="center" wrapText="0"/>
    </xf>
    <xf borderId="10" fillId="0" fontId="14" numFmtId="0" xfId="0" applyAlignment="1" applyBorder="1" applyFont="1">
      <alignment shrinkToFit="0" wrapText="1"/>
    </xf>
    <xf borderId="2" fillId="0" fontId="14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horizontal="left" shrinkToFit="0" vertical="center" wrapText="1"/>
    </xf>
    <xf borderId="6" fillId="0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0"/>
    </xf>
    <xf borderId="2" fillId="0" fontId="21" numFmtId="0" xfId="0" applyAlignment="1" applyBorder="1" applyFont="1">
      <alignment horizontal="center" shrinkToFit="0" vertical="center" wrapText="0"/>
    </xf>
    <xf borderId="6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0"/>
    </xf>
    <xf borderId="6" fillId="0" fontId="21" numFmtId="0" xfId="0" applyAlignment="1" applyBorder="1" applyFont="1">
      <alignment horizontal="center" shrinkToFit="0" vertical="center" wrapText="0"/>
    </xf>
    <xf borderId="6" fillId="0" fontId="14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9" fillId="6" fontId="22" numFmtId="0" xfId="0" applyAlignment="1" applyBorder="1" applyFont="1">
      <alignment horizontal="center" readingOrder="0" shrinkToFit="0" vertical="center" wrapText="1"/>
    </xf>
    <xf borderId="9" fillId="6" fontId="22" numFmtId="0" xfId="0" applyAlignment="1" applyBorder="1" applyFont="1">
      <alignment horizontal="center" shrinkToFit="0" vertical="center" wrapText="1"/>
    </xf>
    <xf borderId="9" fillId="6" fontId="22" numFmtId="0" xfId="0" applyAlignment="1" applyBorder="1" applyFont="1">
      <alignment horizontal="center" shrinkToFit="0" textRotation="0" vertical="center" wrapText="1"/>
    </xf>
    <xf borderId="9" fillId="6" fontId="22" numFmtId="164" xfId="0" applyAlignment="1" applyBorder="1" applyFont="1" applyNumberFormat="1">
      <alignment horizontal="center" shrinkToFit="0" vertical="center" wrapText="1"/>
    </xf>
    <xf borderId="9" fillId="6" fontId="22" numFmtId="164" xfId="0" applyAlignment="1" applyBorder="1" applyFont="1" applyNumberFormat="1">
      <alignment horizontal="center" readingOrder="0" shrinkToFit="0" vertical="center" wrapText="1"/>
    </xf>
    <xf borderId="9" fillId="6" fontId="23" numFmtId="0" xfId="0" applyAlignment="1" applyBorder="1" applyFont="1">
      <alignment horizontal="center" readingOrder="0" shrinkToFit="0" vertical="center" wrapText="1"/>
    </xf>
    <xf borderId="9" fillId="6" fontId="23" numFmtId="0" xfId="0" applyAlignment="1" applyBorder="1" applyFont="1">
      <alignment horizontal="center" shrinkToFit="0" vertical="center" wrapText="1"/>
    </xf>
    <xf borderId="0" fillId="6" fontId="19" numFmtId="0" xfId="0" applyAlignment="1" applyFont="1">
      <alignment horizontal="center" shrinkToFit="0" vertical="center" wrapText="1"/>
    </xf>
    <xf borderId="2" fillId="0" fontId="18" numFmtId="0" xfId="0" applyAlignment="1" applyBorder="1" applyFont="1">
      <alignment readingOrder="0"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readingOrder="0" shrinkToFit="0" vertical="center" wrapText="0"/>
    </xf>
    <xf borderId="2" fillId="0" fontId="18" numFmtId="165" xfId="0" applyAlignment="1" applyBorder="1" applyFont="1" applyNumberFormat="1">
      <alignment horizontal="center" readingOrder="0" shrinkToFit="0" vertical="center" wrapText="1"/>
    </xf>
    <xf borderId="2" fillId="0" fontId="18" numFmtId="164" xfId="0" applyAlignment="1" applyBorder="1" applyFont="1" applyNumberFormat="1">
      <alignment horizontal="center" readingOrder="0" shrinkToFit="0" vertical="center" wrapText="1"/>
    </xf>
    <xf borderId="2" fillId="0" fontId="25" numFmtId="0" xfId="0" applyAlignment="1" applyBorder="1" applyFont="1">
      <alignment horizontal="center" readingOrder="0" shrinkToFit="0" vertical="center" wrapText="1"/>
    </xf>
    <xf borderId="2" fillId="0" fontId="25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2" fillId="0" fontId="27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6" fillId="0" fontId="19" numFmtId="0" xfId="0" applyAlignment="1" applyBorder="1" applyFont="1">
      <alignment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0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2" fillId="0" fontId="19" numFmtId="0" xfId="0" applyAlignment="1" applyBorder="1" applyFont="1">
      <alignment shrinkToFit="0" vertical="center" wrapText="1"/>
    </xf>
    <xf borderId="2" fillId="0" fontId="18" numFmtId="164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0" fillId="7" fontId="18" numFmtId="0" xfId="0" applyAlignment="1" applyFont="1">
      <alignment readingOrder="0" shrinkToFit="0" wrapText="0"/>
    </xf>
    <xf borderId="9" fillId="0" fontId="18" numFmtId="0" xfId="0" applyAlignment="1" applyBorder="1" applyFont="1">
      <alignment readingOrder="0" shrinkToFit="0" vertical="center" wrapText="1"/>
    </xf>
    <xf borderId="9" fillId="0" fontId="18" numFmtId="165" xfId="0" applyAlignment="1" applyBorder="1" applyFont="1" applyNumberFormat="1">
      <alignment horizontal="center" readingOrder="0" shrinkToFit="0" vertical="center" wrapText="1"/>
    </xf>
    <xf borderId="9" fillId="0" fontId="18" numFmtId="164" xfId="0" applyAlignment="1" applyBorder="1" applyFont="1" applyNumberForma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readingOrder="0" shrinkToFit="0" vertical="center" wrapText="1"/>
    </xf>
    <xf borderId="2" fillId="0" fontId="27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readingOrder="0" shrinkToFit="0" vertical="center" wrapText="1"/>
    </xf>
    <xf borderId="0" fillId="6" fontId="2" numFmtId="0" xfId="0" applyAlignment="1" applyFont="1">
      <alignment vertical="center"/>
    </xf>
    <xf borderId="0" fillId="6" fontId="29" numFmtId="0" xfId="0" applyAlignment="1" applyFont="1">
      <alignment horizontal="center" shrinkToFit="0" vertical="center" wrapText="1"/>
    </xf>
    <xf borderId="0" fillId="6" fontId="30" numFmtId="0" xfId="0" applyAlignment="1" applyFont="1">
      <alignment horizontal="center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horizontal="center" vertical="center"/>
    </xf>
    <xf borderId="0" fillId="7" fontId="14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6" fontId="2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1" numFmtId="0" xfId="0" applyAlignment="1" applyFont="1">
      <alignment readingOrder="0" vertical="center"/>
    </xf>
    <xf borderId="0" fillId="7" fontId="14" numFmtId="0" xfId="0" applyAlignment="1" applyFont="1">
      <alignment horizontal="center" shrinkToFit="0" vertical="center" wrapText="1"/>
    </xf>
    <xf borderId="0" fillId="0" fontId="31" numFmtId="0" xfId="0" applyAlignment="1" applyFont="1">
      <alignment vertical="center"/>
    </xf>
    <xf borderId="0" fillId="6" fontId="29" numFmtId="0" xfId="0" applyAlignment="1" applyFont="1">
      <alignment horizontal="center" readingOrder="0" shrinkToFit="0" vertical="center" wrapText="1"/>
    </xf>
    <xf borderId="0" fillId="6" fontId="32" numFmtId="0" xfId="0" applyAlignment="1" applyFont="1">
      <alignment horizontal="center" vertical="center"/>
    </xf>
    <xf borderId="0" fillId="6" fontId="1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7" fontId="1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6" fontId="2" numFmtId="0" xfId="0" applyAlignment="1" applyFont="1">
      <alignment shrinkToFit="0" vertical="center" wrapText="1"/>
    </xf>
    <xf borderId="0" fillId="0" fontId="32" numFmtId="0" xfId="0" applyAlignment="1" applyFont="1">
      <alignment vertical="center"/>
    </xf>
    <xf borderId="0" fillId="0" fontId="32" numFmtId="0" xfId="0" applyAlignment="1" applyFont="1">
      <alignment shrinkToFit="0" vertical="center" wrapText="1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4" fillId="8" fontId="33" numFmtId="0" xfId="0" applyAlignment="1" applyBorder="1" applyFill="1" applyFont="1">
      <alignment readingOrder="0" vertical="bottom"/>
    </xf>
    <xf borderId="1" fillId="8" fontId="34" numFmtId="0" xfId="0" applyAlignment="1" applyBorder="1" applyFont="1">
      <alignment horizontal="center" vertical="bottom"/>
    </xf>
    <xf borderId="5" fillId="8" fontId="34" numFmtId="0" xfId="0" applyAlignment="1" applyBorder="1" applyFont="1">
      <alignment horizontal="center" vertical="center"/>
    </xf>
    <xf borderId="4" fillId="8" fontId="34" numFmtId="0" xfId="0" applyAlignment="1" applyBorder="1" applyFont="1">
      <alignment vertical="bottom"/>
    </xf>
    <xf borderId="4" fillId="8" fontId="34" numFmtId="0" xfId="0" applyAlignment="1" applyBorder="1" applyFont="1">
      <alignment horizontal="center" vertical="bottom"/>
    </xf>
    <xf borderId="8" fillId="0" fontId="4" numFmtId="0" xfId="0" applyBorder="1" applyFont="1"/>
    <xf borderId="0" fillId="0" fontId="35" numFmtId="0" xfId="0" applyFont="1"/>
    <xf borderId="4" fillId="0" fontId="2" numFmtId="0" xfId="0" applyAlignment="1" applyBorder="1" applyFont="1">
      <alignment horizontal="center" vertical="bottom"/>
    </xf>
    <xf borderId="0" fillId="0" fontId="32" numFmtId="0" xfId="0" applyAlignment="1" applyFont="1">
      <alignment readingOrder="0" vertical="bottom"/>
    </xf>
    <xf borderId="0" fillId="0" fontId="35" numFmtId="0" xfId="0" applyAlignment="1" applyFont="1">
      <alignment readingOrder="0"/>
    </xf>
    <xf borderId="4" fillId="9" fontId="36" numFmtId="0" xfId="0" applyAlignment="1" applyBorder="1" applyFill="1" applyFont="1">
      <alignment horizontal="center" vertical="bottom"/>
    </xf>
    <xf borderId="0" fillId="0" fontId="32" numFmtId="4" xfId="0" applyAlignment="1" applyFont="1" applyNumberFormat="1">
      <alignment horizontal="center"/>
    </xf>
    <xf borderId="0" fillId="0" fontId="2" numFmtId="10" xfId="0" applyAlignment="1" applyFont="1" applyNumberFormat="1">
      <alignment vertical="bottom"/>
    </xf>
    <xf borderId="0" fillId="0" fontId="37" numFmtId="0" xfId="0" applyAlignment="1" applyFont="1">
      <alignment readingOrder="0" vertical="bottom"/>
    </xf>
    <xf borderId="0" fillId="0" fontId="38" numFmtId="0" xfId="0" applyAlignment="1" applyFont="1">
      <alignment readingOrder="0" shrinkToFit="0" wrapText="1"/>
    </xf>
    <xf borderId="0" fillId="0" fontId="39" numFmtId="0" xfId="0" applyAlignment="1" applyFont="1">
      <alignment horizontal="center" vertical="center"/>
    </xf>
    <xf borderId="0" fillId="0" fontId="21" numFmtId="0" xfId="0" applyAlignment="1" applyFont="1">
      <alignment horizontal="center" readingOrder="0" shrinkToFit="0" wrapText="1"/>
    </xf>
    <xf borderId="0" fillId="0" fontId="40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4" fillId="0" fontId="41" numFmtId="0" xfId="0" applyAlignment="1" applyBorder="1" applyFont="1">
      <alignment readingOrder="0"/>
    </xf>
    <xf borderId="4" fillId="0" fontId="41" numFmtId="0" xfId="0" applyAlignment="1" applyBorder="1" applyFont="1">
      <alignment horizontal="center" readingOrder="0" shrinkToFit="0" wrapText="1"/>
    </xf>
    <xf borderId="4" fillId="10" fontId="8" numFmtId="0" xfId="0" applyBorder="1" applyFill="1" applyFont="1"/>
    <xf borderId="4" fillId="0" fontId="8" numFmtId="0" xfId="0" applyBorder="1" applyFont="1"/>
    <xf borderId="4" fillId="0" fontId="41" numFmtId="0" xfId="0" applyBorder="1" applyFont="1"/>
    <xf borderId="4" fillId="11" fontId="8" numFmtId="0" xfId="0" applyBorder="1" applyFill="1" applyFont="1"/>
    <xf borderId="4" fillId="12" fontId="8" numFmtId="0" xfId="0" applyBorder="1" applyFill="1" applyFont="1"/>
    <xf borderId="4" fillId="13" fontId="8" numFmtId="0" xfId="0" applyBorder="1" applyFill="1" applyFont="1"/>
    <xf borderId="4" fillId="14" fontId="8" numFmtId="0" xfId="0" applyBorder="1" applyFill="1" applyFont="1"/>
    <xf borderId="4" fillId="15" fontId="8" numFmtId="0" xfId="0" applyBorder="1" applyFill="1" applyFont="1"/>
    <xf borderId="4" fillId="16" fontId="8" numFmtId="0" xfId="0" applyBorder="1" applyFill="1" applyFont="1"/>
    <xf borderId="0" fillId="0" fontId="42" numFmtId="0" xfId="0" applyFont="1"/>
    <xf borderId="4" fillId="0" fontId="42" numFmtId="0" xfId="0" applyAlignment="1" applyBorder="1" applyFont="1">
      <alignment readingOrder="0"/>
    </xf>
    <xf borderId="4" fillId="0" fontId="43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44" numFmtId="0" xfId="0" applyAlignment="1" applyFont="1">
      <alignment horizontal="right" readingOrder="0"/>
    </xf>
    <xf borderId="0" fillId="0" fontId="45" numFmtId="0" xfId="0" applyFont="1"/>
    <xf borderId="0" fillId="7" fontId="46" numFmtId="0" xfId="0" applyAlignment="1" applyFont="1">
      <alignment horizontal="left" readingOrder="0"/>
    </xf>
    <xf borderId="0" fillId="7" fontId="47" numFmtId="0" xfId="0" applyFont="1"/>
    <xf borderId="0" fillId="0" fontId="8" numFmtId="10" xfId="0" applyFont="1" applyNumberFormat="1"/>
    <xf borderId="0" fillId="0" fontId="30" numFmtId="0" xfId="0" applyAlignment="1" applyFont="1">
      <alignment horizontal="center" shrinkToFit="0" vertical="center" wrapText="1"/>
    </xf>
    <xf borderId="0" fillId="17" fontId="31" numFmtId="0" xfId="0" applyAlignment="1" applyFill="1" applyFont="1">
      <alignment readingOrder="0" shrinkToFit="0" vertical="center" wrapText="1"/>
    </xf>
    <xf borderId="0" fillId="17" fontId="35" numFmtId="0" xfId="0" applyAlignment="1" applyFont="1">
      <alignment horizontal="left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0" fontId="32" numFmtId="0" xfId="0" applyFont="1"/>
    <xf borderId="0" fillId="17" fontId="31" numFmtId="0" xfId="0" applyAlignment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0" fillId="17" fontId="31" numFmtId="0" xfId="0" applyAlignment="1" applyFont="1">
      <alignment shrinkToFit="0" vertical="center" wrapText="1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6" fontId="32" numFmtId="0" xfId="0" applyFont="1"/>
    <xf borderId="0" fillId="17" fontId="32" numFmtId="0" xfId="0" applyAlignment="1" applyFont="1">
      <alignment readingOrder="0" shrinkToFit="0" vertical="center" wrapText="1"/>
    </xf>
    <xf borderId="0" fillId="7" fontId="14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vertical="center" wrapText="0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horizontal="center"/>
    </xf>
    <xf borderId="0" fillId="17" fontId="35" numFmtId="0" xfId="0" applyAlignment="1" applyFont="1">
      <alignment horizontal="left" shrinkToFit="0" vertical="center" wrapText="1"/>
    </xf>
    <xf borderId="0" fillId="0" fontId="31" numFmtId="0" xfId="0" applyAlignment="1" applyFont="1">
      <alignment shrinkToFit="0" wrapText="1"/>
    </xf>
    <xf borderId="0" fillId="0" fontId="35" numFmtId="0" xfId="0" applyAlignment="1" applyFont="1">
      <alignment shrinkToFit="0" vertical="center" wrapText="1"/>
    </xf>
    <xf borderId="0" fillId="0" fontId="2" numFmtId="0" xfId="0" applyAlignment="1" applyFont="1">
      <alignment horizontal="left" vertical="center"/>
    </xf>
    <xf borderId="0" fillId="6" fontId="30" numFmtId="0" xfId="0" applyAlignment="1" applyFont="1">
      <alignment horizontal="left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7" fontId="14" numFmtId="0" xfId="0" applyAlignment="1" applyFont="1">
      <alignment horizontal="left" shrinkToFit="0" vertical="center" wrapText="1"/>
    </xf>
    <xf borderId="0" fillId="6" fontId="2" numFmtId="0" xfId="0" applyAlignment="1" applyFont="1">
      <alignment horizontal="left" vertical="center"/>
    </xf>
    <xf borderId="0" fillId="0" fontId="32" numFmtId="0" xfId="0" applyAlignment="1" applyFont="1">
      <alignment horizontal="left" vertical="center"/>
    </xf>
    <xf borderId="0" fillId="0" fontId="48" numFmtId="0" xfId="0" applyAlignment="1" applyFont="1">
      <alignment horizontal="right" vertical="center"/>
    </xf>
    <xf borderId="0" fillId="0" fontId="48" numFmtId="0" xfId="0" applyAlignment="1" applyFont="1">
      <alignment horizontal="center" vertical="center"/>
    </xf>
    <xf borderId="0" fillId="0" fontId="8" numFmtId="0" xfId="0" applyAlignment="1" applyFont="1">
      <alignment horizontal="right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18" fontId="48" numFmtId="0" xfId="0" applyAlignment="1" applyFill="1" applyFont="1">
      <alignment horizontal="center" vertical="center"/>
    </xf>
    <xf borderId="0" fillId="18" fontId="48" numFmtId="14" xfId="0" applyAlignment="1" applyFont="1" applyNumberFormat="1">
      <alignment horizontal="center" vertical="center"/>
    </xf>
    <xf borderId="0" fillId="0" fontId="49" numFmtId="0" xfId="0" applyAlignment="1" applyFont="1">
      <alignment vertical="center"/>
    </xf>
    <xf borderId="0" fillId="0" fontId="49" numFmtId="0" xfId="0" applyAlignment="1" applyFont="1">
      <alignment readingOrder="0" vertical="center"/>
    </xf>
    <xf borderId="0" fillId="0" fontId="49" numFmtId="0" xfId="0" applyAlignment="1" applyFont="1">
      <alignment horizontal="left" readingOrder="0" vertical="center"/>
    </xf>
    <xf borderId="0" fillId="0" fontId="49" numFmtId="0" xfId="0" applyAlignment="1" applyFont="1">
      <alignment horizontal="center" vertical="center"/>
    </xf>
    <xf borderId="0" fillId="0" fontId="49" numFmtId="165" xfId="0" applyAlignment="1" applyFont="1" applyNumberFormat="1">
      <alignment horizontal="center" readingOrder="0" vertical="center"/>
    </xf>
    <xf borderId="0" fillId="0" fontId="50" numFmtId="0" xfId="0" applyAlignment="1" applyFont="1">
      <alignment horizontal="right"/>
    </xf>
    <xf borderId="0" fillId="0" fontId="50" numFmtId="0" xfId="0" applyAlignment="1" applyFont="1">
      <alignment horizontal="center"/>
    </xf>
    <xf borderId="0" fillId="0" fontId="49" numFmtId="0" xfId="0" applyFont="1"/>
    <xf borderId="0" fillId="18" fontId="48" numFmtId="0" xfId="0" applyAlignment="1" applyFont="1">
      <alignment horizontal="right" readingOrder="0" vertical="center"/>
    </xf>
    <xf borderId="0" fillId="18" fontId="48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/>
    </xf>
    <xf borderId="0" fillId="0" fontId="51" numFmtId="0" xfId="0" applyAlignment="1" applyFont="1">
      <alignment horizontal="right" readingOrder="0"/>
    </xf>
    <xf borderId="0" fillId="0" fontId="51" numFmtId="0" xfId="0" applyAlignment="1" applyFont="1">
      <alignment horizontal="center" readingOrder="0"/>
    </xf>
    <xf borderId="0" fillId="0" fontId="21" numFmtId="0" xfId="0" applyAlignment="1" applyFont="1">
      <alignment horizontal="right"/>
    </xf>
    <xf borderId="0" fillId="0" fontId="21" numFmtId="0" xfId="0" applyAlignment="1" applyFont="1">
      <alignment horizontal="center"/>
    </xf>
    <xf borderId="0" fillId="0" fontId="49" numFmtId="166" xfId="0" applyAlignment="1" applyFont="1" applyNumberFormat="1">
      <alignment horizontal="center" readingOrder="0" vertical="center"/>
    </xf>
    <xf borderId="0" fillId="0" fontId="49" numFmtId="0" xfId="0" applyAlignment="1" applyFont="1">
      <alignment horizontal="left" vertical="center"/>
    </xf>
    <xf borderId="0" fillId="0" fontId="8" numFmtId="0" xfId="0" applyAlignment="1" applyFont="1">
      <alignment horizontal="left"/>
    </xf>
    <xf borderId="0" fillId="0" fontId="50" numFmtId="0" xfId="0" applyAlignment="1" applyFont="1">
      <alignment horizontal="right" vertical="bottom"/>
    </xf>
    <xf borderId="0" fillId="0" fontId="50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19" fontId="50" numFmtId="0" xfId="0" applyAlignment="1" applyFont="1">
      <alignment horizontal="right" vertical="bottom"/>
    </xf>
    <xf borderId="0" fillId="19" fontId="50" numFmtId="0" xfId="0" applyAlignment="1" applyFont="1">
      <alignment horizontal="center" vertical="bottom"/>
    </xf>
    <xf borderId="0" fillId="0" fontId="52" numFmtId="0" xfId="0" applyAlignment="1" applyFont="1">
      <alignment horizontal="center" readingOrder="0" shrinkToFit="0" vertical="center" wrapText="0"/>
    </xf>
    <xf borderId="0" fillId="0" fontId="53" numFmtId="0" xfId="0" applyAlignment="1" applyFont="1">
      <alignment shrinkToFit="0" vertical="bottom" wrapText="0"/>
    </xf>
    <xf borderId="11" fillId="20" fontId="54" numFmtId="0" xfId="0" applyAlignment="1" applyBorder="1" applyFill="1" applyFont="1">
      <alignment readingOrder="0" shrinkToFit="0" vertical="bottom" wrapText="0"/>
    </xf>
    <xf borderId="12" fillId="0" fontId="4" numFmtId="0" xfId="0" applyBorder="1" applyFont="1"/>
    <xf borderId="13" fillId="0" fontId="53" numFmtId="0" xfId="0" applyAlignment="1" applyBorder="1" applyFont="1">
      <alignment readingOrder="0" shrinkToFit="0" vertical="bottom" wrapText="0"/>
    </xf>
    <xf borderId="11" fillId="0" fontId="55" numFmtId="0" xfId="0" applyAlignment="1" applyBorder="1" applyFont="1">
      <alignment readingOrder="0" shrinkToFit="0" vertical="bottom" wrapText="0"/>
    </xf>
    <xf borderId="14" fillId="0" fontId="4" numFmtId="0" xfId="0" applyBorder="1" applyFont="1"/>
    <xf borderId="11" fillId="0" fontId="53" numFmtId="0" xfId="0" applyAlignment="1" applyBorder="1" applyFont="1">
      <alignment readingOrder="0" shrinkToFit="0" vertical="bottom" wrapText="0"/>
    </xf>
    <xf borderId="0" fillId="0" fontId="54" numFmtId="0" xfId="0" applyAlignment="1" applyFont="1">
      <alignment readingOrder="0" shrinkToFit="0" vertical="bottom" wrapText="0"/>
    </xf>
    <xf borderId="0" fillId="20" fontId="54" numFmtId="0" xfId="0" applyAlignment="1" applyFont="1">
      <alignment readingOrder="0" shrinkToFit="0" vertical="bottom" wrapText="0"/>
    </xf>
    <xf borderId="13" fillId="0" fontId="53" numFmtId="0" xfId="0" applyAlignment="1" applyBorder="1" applyFont="1">
      <alignment readingOrder="0" shrinkToFit="0" vertical="center" wrapText="0"/>
    </xf>
    <xf borderId="13" fillId="21" fontId="56" numFmtId="0" xfId="0" applyAlignment="1" applyBorder="1" applyFill="1" applyFont="1">
      <alignment horizontal="center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13" fillId="0" fontId="53" numFmtId="0" xfId="0" applyAlignment="1" applyBorder="1" applyFont="1">
      <alignment horizontal="left" readingOrder="0" shrinkToFit="0" vertical="center" wrapText="0"/>
    </xf>
    <xf borderId="13" fillId="0" fontId="57" numFmtId="0" xfId="0" applyAlignment="1" applyBorder="1" applyFont="1">
      <alignment readingOrder="0" shrinkToFit="0" vertical="center" wrapText="0"/>
    </xf>
    <xf borderId="13" fillId="0" fontId="57" numFmtId="0" xfId="0" applyAlignment="1" applyBorder="1" applyFont="1">
      <alignment readingOrder="0" shrinkToFit="0" vertical="center" wrapText="0"/>
    </xf>
    <xf borderId="0" fillId="0" fontId="53" numFmtId="0" xfId="0" applyAlignment="1" applyFont="1">
      <alignment shrinkToFit="0" vertical="center" wrapText="0"/>
    </xf>
    <xf borderId="13" fillId="0" fontId="57" numFmtId="0" xfId="0" applyAlignment="1" applyBorder="1" applyFont="1">
      <alignment shrinkToFit="0" vertical="center" wrapText="0"/>
    </xf>
    <xf borderId="13" fillId="0" fontId="58" numFmtId="0" xfId="0" applyAlignment="1" applyBorder="1" applyFont="1">
      <alignment readingOrder="0" shrinkToFit="0" vertical="bottom" wrapText="1"/>
    </xf>
    <xf borderId="11" fillId="0" fontId="58" numFmtId="0" xfId="0" applyAlignment="1" applyBorder="1" applyFont="1">
      <alignment readingOrder="0" shrinkToFit="0" vertical="center" wrapText="0"/>
    </xf>
    <xf borderId="13" fillId="0" fontId="53" numFmtId="0" xfId="0" applyAlignment="1" applyBorder="1" applyFont="1">
      <alignment horizontal="center" readingOrder="0" shrinkToFit="0" vertical="center" wrapText="0"/>
    </xf>
    <xf borderId="13" fillId="0" fontId="57" numFmtId="0" xfId="0" applyAlignment="1" applyBorder="1" applyFont="1">
      <alignment horizontal="center" readingOrder="0" shrinkToFit="0" vertical="center" wrapText="0"/>
    </xf>
    <xf borderId="0" fillId="0" fontId="53" numFmtId="0" xfId="0" applyAlignment="1" applyFont="1">
      <alignment horizontal="center" shrinkToFit="0" vertical="center" wrapText="0"/>
    </xf>
    <xf borderId="13" fillId="0" fontId="57" numFmtId="0" xfId="0" applyAlignment="1" applyBorder="1" applyFont="1">
      <alignment horizontal="center" shrinkToFit="0" vertical="center" wrapText="0"/>
    </xf>
    <xf borderId="0" fillId="0" fontId="53" numFmtId="0" xfId="0" applyAlignment="1" applyFont="1">
      <alignment readingOrder="0" shrinkToFit="0" vertical="bottom" wrapText="0"/>
    </xf>
    <xf borderId="0" fillId="0" fontId="57" numFmtId="0" xfId="0" applyAlignment="1" applyFont="1">
      <alignment shrinkToFit="0" vertical="center" wrapText="0"/>
    </xf>
    <xf borderId="6" fillId="22" fontId="33" numFmtId="0" xfId="0" applyBorder="1" applyFill="1" applyFont="1"/>
    <xf borderId="6" fillId="22" fontId="33" numFmtId="0" xfId="0" applyAlignment="1" applyBorder="1" applyFont="1">
      <alignment readingOrder="0"/>
    </xf>
    <xf borderId="6" fillId="22" fontId="33" numFmtId="0" xfId="0" applyAlignment="1" applyBorder="1" applyFont="1">
      <alignment readingOrder="0" shrinkToFit="0" wrapText="1"/>
    </xf>
    <xf borderId="9" fillId="23" fontId="59" numFmtId="0" xfId="0" applyAlignment="1" applyBorder="1" applyFill="1" applyFont="1">
      <alignment readingOrder="0" shrinkToFit="0" wrapText="1"/>
    </xf>
    <xf borderId="0" fillId="0" fontId="32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9" fillId="24" fontId="60" numFmtId="0" xfId="0" applyAlignment="1" applyBorder="1" applyFill="1" applyFont="1">
      <alignment shrinkToFit="0" wrapText="1"/>
    </xf>
    <xf borderId="0" fillId="19" fontId="32" numFmtId="0" xfId="0" applyAlignment="1" applyFont="1">
      <alignment readingOrder="0" vertical="bottom"/>
    </xf>
    <xf borderId="0" fillId="0" fontId="61" numFmtId="0" xfId="0" applyFont="1"/>
    <xf borderId="9" fillId="0" fontId="61" numFmtId="0" xfId="0" applyAlignment="1" applyBorder="1" applyFont="1">
      <alignment readingOrder="0"/>
    </xf>
    <xf borderId="9" fillId="0" fontId="61" numFmtId="0" xfId="0" applyBorder="1" applyFont="1"/>
    <xf borderId="9" fillId="0" fontId="35" numFmtId="0" xfId="0" applyBorder="1" applyFont="1"/>
    <xf borderId="0" fillId="25" fontId="62" numFmtId="0" xfId="0" applyAlignment="1" applyFill="1" applyFont="1">
      <alignment readingOrder="0" shrinkToFit="0" vertical="bottom" wrapText="0"/>
    </xf>
    <xf borderId="0" fillId="25" fontId="53" numFmtId="0" xfId="0" applyAlignment="1" applyFont="1">
      <alignment readingOrder="0" shrinkToFit="0" vertical="bottom" wrapText="1"/>
    </xf>
    <xf borderId="0" fillId="26" fontId="53" numFmtId="0" xfId="0" applyAlignment="1" applyFill="1" applyFont="1">
      <alignment readingOrder="0" shrinkToFit="0" vertical="bottom" wrapText="0"/>
    </xf>
    <xf borderId="0" fillId="26" fontId="53" numFmtId="0" xfId="0" applyAlignment="1" applyFont="1">
      <alignment readingOrder="0" shrinkToFit="0" vertical="bottom" wrapText="1"/>
    </xf>
    <xf borderId="0" fillId="0" fontId="53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shrinkToFit="0" vertical="center" wrapText="0"/>
    </xf>
    <xf borderId="0" fillId="0" fontId="53" numFmtId="0" xfId="0" applyAlignment="1" applyFont="1">
      <alignment shrinkToFit="0" vertical="bottom" wrapText="1"/>
    </xf>
    <xf borderId="0" fillId="0" fontId="63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wrapText="1"/>
    </xf>
    <xf borderId="0" fillId="27" fontId="53" numFmtId="0" xfId="0" applyAlignment="1" applyFill="1" applyFont="1">
      <alignment readingOrder="0" shrinkToFit="0" vertical="bottom" wrapText="0"/>
    </xf>
    <xf borderId="0" fillId="27" fontId="53" numFmtId="0" xfId="0" applyAlignment="1" applyFont="1">
      <alignment readingOrder="0" shrinkToFit="0" vertical="bottom" wrapText="1"/>
    </xf>
    <xf borderId="0" fillId="0" fontId="64" numFmtId="0" xfId="0" applyAlignment="1" applyFont="1">
      <alignment readingOrder="0" shrinkToFit="0" vertical="bottom" wrapText="1"/>
    </xf>
    <xf borderId="0" fillId="0" fontId="53" numFmtId="0" xfId="0" applyAlignment="1" applyFont="1">
      <alignment readingOrder="0" shrinkToFit="0" wrapText="0"/>
    </xf>
    <xf borderId="0" fillId="0" fontId="53" numFmtId="0" xfId="0" applyAlignment="1" applyFont="1">
      <alignment readingOrder="0" shrinkToFit="0" vertical="top" wrapText="1"/>
    </xf>
    <xf borderId="0" fillId="0" fontId="64" numFmtId="0" xfId="0" applyAlignment="1" applyFont="1">
      <alignment readingOrder="0" shrinkToFit="0" vertical="top" wrapText="1"/>
    </xf>
    <xf borderId="0" fillId="0" fontId="53" numFmtId="0" xfId="0" applyAlignment="1" applyFont="1">
      <alignment readingOrder="0" shrinkToFit="0" vertical="center" wrapText="0"/>
    </xf>
    <xf borderId="0" fillId="26" fontId="53" numFmtId="0" xfId="0" applyAlignment="1" applyFont="1">
      <alignment readingOrder="0" shrinkToFit="0" vertical="bottom" wrapText="0"/>
    </xf>
    <xf borderId="0" fillId="27" fontId="53" numFmtId="0" xfId="0" applyAlignment="1" applyFont="1">
      <alignment readingOrder="0" shrinkToFit="0" vertical="bottom" wrapText="0"/>
    </xf>
    <xf borderId="0" fillId="0" fontId="53" numFmtId="0" xfId="0" applyAlignment="1" applyFont="1">
      <alignment shrinkToFit="0" vertical="bottom" wrapText="0"/>
    </xf>
    <xf borderId="0" fillId="0" fontId="53" numFmtId="0" xfId="0" applyAlignment="1" applyFont="1">
      <alignment readingOrder="0" shrinkToFit="0" vertical="bottom" wrapText="0"/>
    </xf>
    <xf borderId="0" fillId="0" fontId="53" numFmtId="0" xfId="0" applyAlignment="1" applyFont="1">
      <alignment readingOrder="0" vertical="bottom"/>
    </xf>
    <xf borderId="0" fillId="0" fontId="53" numFmtId="0" xfId="0" applyAlignment="1" applyFont="1">
      <alignment readingOrder="0" shrinkToFit="0" wrapText="0"/>
    </xf>
    <xf borderId="0" fillId="0" fontId="53" numFmtId="0" xfId="0" applyAlignment="1" applyFont="1">
      <alignment readingOrder="0" vertical="top"/>
    </xf>
    <xf borderId="0" fillId="0" fontId="8" numFmtId="2" xfId="0" applyAlignment="1" applyFont="1" applyNumberFormat="1">
      <alignment readingOrder="0"/>
    </xf>
    <xf borderId="0" fillId="0" fontId="8" numFmtId="2" xfId="0" applyFont="1" applyNumberFormat="1"/>
    <xf borderId="0" fillId="0" fontId="3" numFmtId="0" xfId="0" applyAlignment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textRotation="45" vertical="center" wrapText="1"/>
    </xf>
    <xf borderId="16" fillId="0" fontId="65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readingOrder="0" shrinkToFit="0" vertical="center" wrapText="1"/>
    </xf>
    <xf borderId="10" fillId="0" fontId="66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22" fillId="0" fontId="4" numFmtId="0" xfId="0" applyBorder="1" applyFont="1"/>
    <xf borderId="2" fillId="0" fontId="2" numFmtId="0" xfId="0" applyAlignment="1" applyBorder="1" applyFont="1">
      <alignment vertical="center"/>
    </xf>
    <xf borderId="18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29" fillId="0" fontId="3" numFmtId="0" xfId="0" applyAlignment="1" applyBorder="1" applyFont="1">
      <alignment horizontal="center" shrinkToFit="0" vertical="center" wrapText="0"/>
    </xf>
    <xf borderId="30" fillId="0" fontId="4" numFmtId="0" xfId="0" applyBorder="1" applyFont="1"/>
    <xf borderId="31" fillId="0" fontId="4" numFmtId="0" xfId="0" applyBorder="1" applyFont="1"/>
    <xf borderId="32" fillId="0" fontId="2" numFmtId="0" xfId="0" applyAlignment="1" applyBorder="1" applyFont="1">
      <alignment shrinkToFit="0" vertical="center" wrapText="0"/>
    </xf>
    <xf borderId="33" fillId="0" fontId="4" numFmtId="0" xfId="0" applyBorder="1" applyFont="1"/>
    <xf borderId="31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readingOrder="0" shrinkToFit="0" vertical="center" wrapText="1"/>
    </xf>
    <xf borderId="34" fillId="0" fontId="2" numFmtId="0" xfId="0" applyAlignment="1" applyBorder="1" applyFont="1">
      <alignment readingOrder="0" shrinkToFit="0" vertical="center" wrapText="1"/>
    </xf>
    <xf borderId="35" fillId="0" fontId="2" numFmtId="0" xfId="0" applyAlignment="1" applyBorder="1" applyFont="1">
      <alignment shrinkToFit="0" vertical="center" wrapText="0"/>
    </xf>
    <xf borderId="36" fillId="0" fontId="3" numFmtId="0" xfId="0" applyAlignment="1" applyBorder="1" applyFont="1">
      <alignment horizontal="center" shrinkToFit="0" vertical="center" wrapText="0"/>
    </xf>
    <xf borderId="0" fillId="0" fontId="65" numFmtId="0" xfId="0" applyAlignment="1" applyFont="1">
      <alignment horizontal="center" readingOrder="0" shrinkToFit="0" vertical="center" wrapText="1"/>
    </xf>
    <xf borderId="37" fillId="0" fontId="2" numFmtId="0" xfId="0" applyAlignment="1" applyBorder="1" applyFont="1">
      <alignment vertical="center"/>
    </xf>
    <xf borderId="16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shrinkToFit="0" vertical="center" wrapText="1"/>
    </xf>
    <xf borderId="38" fillId="0" fontId="2" numFmtId="0" xfId="0" applyAlignment="1" applyBorder="1" applyFont="1">
      <alignment shrinkToFit="0" vertical="center" wrapText="0"/>
    </xf>
    <xf borderId="39" fillId="0" fontId="3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shrinkToFit="0" vertical="center" wrapText="0"/>
    </xf>
    <xf borderId="40" fillId="0" fontId="2" numFmtId="0" xfId="0" applyAlignment="1" applyBorder="1" applyFont="1">
      <alignment vertical="center"/>
    </xf>
    <xf borderId="41" fillId="0" fontId="4" numFmtId="0" xfId="0" applyBorder="1" applyFont="1"/>
    <xf borderId="42" fillId="0" fontId="2" numFmtId="0" xfId="0" applyAlignment="1" applyBorder="1" applyFont="1">
      <alignment shrinkToFit="0" vertical="center" wrapText="1"/>
    </xf>
    <xf borderId="43" fillId="0" fontId="2" numFmtId="0" xfId="0" applyAlignment="1" applyBorder="1" applyFont="1">
      <alignment shrinkToFit="0" vertical="center" wrapText="1"/>
    </xf>
    <xf borderId="43" fillId="0" fontId="2" numFmtId="0" xfId="0" applyAlignment="1" applyBorder="1" applyFont="1">
      <alignment shrinkToFit="0" vertical="center" wrapText="0"/>
    </xf>
    <xf borderId="20" fillId="0" fontId="8" numFmtId="0" xfId="0" applyAlignment="1" applyBorder="1" applyFont="1">
      <alignment readingOrder="0" vertical="center"/>
    </xf>
    <xf borderId="38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center" readingOrder="0" vertical="center"/>
    </xf>
    <xf borderId="44" fillId="0" fontId="2" numFmtId="0" xfId="0" applyAlignment="1" applyBorder="1" applyFont="1">
      <alignment readingOrder="0" shrinkToFit="0" vertical="center" wrapText="1"/>
    </xf>
    <xf borderId="32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vertical="center"/>
    </xf>
    <xf borderId="8" fillId="0" fontId="2" numFmtId="0" xfId="0" applyAlignment="1" applyBorder="1" applyFont="1">
      <alignment shrinkToFit="0" vertical="center" wrapText="0"/>
    </xf>
    <xf borderId="2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45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shrinkToFit="0" wrapText="1"/>
    </xf>
    <xf borderId="35" fillId="0" fontId="2" numFmtId="0" xfId="0" applyAlignment="1" applyBorder="1" applyFont="1">
      <alignment shrinkToFit="0" wrapText="1"/>
    </xf>
    <xf borderId="47" fillId="0" fontId="2" numFmtId="0" xfId="0" applyAlignment="1" applyBorder="1" applyFont="1">
      <alignment shrinkToFit="0" wrapText="1"/>
    </xf>
    <xf borderId="48" fillId="0" fontId="2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horizontal="center" readingOrder="0" shrinkToFit="0" vertical="center" wrapText="0"/>
    </xf>
    <xf borderId="49" fillId="0" fontId="4" numFmtId="0" xfId="0" applyBorder="1" applyFont="1"/>
    <xf borderId="37" fillId="0" fontId="2" numFmtId="0" xfId="0" applyAlignment="1" applyBorder="1" applyFont="1">
      <alignment shrinkToFit="0" vertical="center" wrapText="1"/>
    </xf>
    <xf borderId="50" fillId="0" fontId="3" numFmtId="0" xfId="0" applyAlignment="1" applyBorder="1" applyFont="1">
      <alignment readingOrder="0" shrinkToFit="0" vertical="center" wrapText="1"/>
    </xf>
    <xf borderId="44" fillId="0" fontId="2" numFmtId="0" xfId="0" applyAlignment="1" applyBorder="1" applyFont="1">
      <alignment shrinkToFit="0" vertical="center" wrapText="1"/>
    </xf>
    <xf borderId="38" fillId="0" fontId="67" numFmtId="0" xfId="0" applyAlignment="1" applyBorder="1" applyFont="1">
      <alignment shrinkToFit="0" vertical="center" wrapText="0"/>
    </xf>
    <xf borderId="32" fillId="0" fontId="2" numFmtId="0" xfId="0" applyAlignment="1" applyBorder="1" applyFont="1">
      <alignment shrinkToFit="0" vertical="center" wrapText="1"/>
    </xf>
    <xf borderId="0" fillId="0" fontId="65" numFmtId="0" xfId="0" applyAlignment="1" applyFont="1">
      <alignment horizontal="center" shrinkToFit="0" vertical="center" wrapText="1"/>
    </xf>
    <xf borderId="51" fillId="0" fontId="2" numFmtId="0" xfId="0" applyAlignment="1" applyBorder="1" applyFont="1">
      <alignment vertical="center"/>
    </xf>
    <xf borderId="16" fillId="0" fontId="3" numFmtId="0" xfId="0" applyAlignment="1" applyBorder="1" applyFont="1">
      <alignment readingOrder="0" shrinkToFit="0" vertical="center" wrapText="1"/>
    </xf>
    <xf borderId="52" fillId="0" fontId="2" numFmtId="0" xfId="0" applyAlignment="1" applyBorder="1" applyFont="1">
      <alignment shrinkToFit="0" wrapText="1"/>
    </xf>
    <xf borderId="53" fillId="0" fontId="2" numFmtId="0" xfId="0" applyAlignment="1" applyBorder="1" applyFont="1">
      <alignment vertical="center"/>
    </xf>
    <xf borderId="54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readingOrder="0" vertical="center"/>
    </xf>
    <xf borderId="54" fillId="0" fontId="2" numFmtId="0" xfId="0" applyBorder="1" applyFont="1"/>
    <xf borderId="8" fillId="7" fontId="2" numFmtId="0" xfId="0" applyAlignment="1" applyBorder="1" applyFont="1">
      <alignment shrinkToFit="0" vertical="center" wrapText="1"/>
    </xf>
    <xf borderId="4" fillId="7" fontId="2" numFmtId="0" xfId="0" applyAlignment="1" applyBorder="1" applyFont="1">
      <alignment shrinkToFit="0" vertical="center" wrapText="1"/>
    </xf>
    <xf borderId="5" fillId="7" fontId="2" numFmtId="0" xfId="0" applyAlignment="1" applyBorder="1" applyFont="1">
      <alignment shrinkToFit="0" vertical="center" wrapText="1"/>
    </xf>
    <xf borderId="42" fillId="7" fontId="2" numFmtId="0" xfId="0" applyAlignment="1" applyBorder="1" applyFont="1">
      <alignment vertical="center"/>
    </xf>
    <xf borderId="43" fillId="7" fontId="2" numFmtId="0" xfId="0" applyAlignment="1" applyBorder="1" applyFont="1">
      <alignment shrinkToFit="0" vertical="center" wrapText="1"/>
    </xf>
    <xf borderId="55" fillId="0" fontId="2" numFmtId="0" xfId="0" applyAlignment="1" applyBorder="1" applyFont="1">
      <alignment horizontal="center" readingOrder="0" vertical="center"/>
    </xf>
    <xf borderId="35" fillId="7" fontId="2" numFmtId="0" xfId="0" applyAlignment="1" applyBorder="1" applyFont="1">
      <alignment vertical="center"/>
    </xf>
    <xf borderId="48" fillId="7" fontId="2" numFmtId="0" xfId="0" applyAlignment="1" applyBorder="1" applyFont="1">
      <alignment shrinkToFit="0" vertical="center" wrapText="1"/>
    </xf>
    <xf borderId="32" fillId="7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68" numFmtId="0" xfId="0" applyAlignment="1" applyBorder="1" applyFont="1">
      <alignment shrinkToFit="0" vertical="center" wrapText="0"/>
    </xf>
    <xf borderId="42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28" fontId="2" numFmtId="0" xfId="0" applyAlignment="1" applyBorder="1" applyFill="1" applyFont="1">
      <alignment shrinkToFit="0" vertical="center" wrapText="1"/>
    </xf>
    <xf borderId="56" fillId="0" fontId="2" numFmtId="0" xfId="0" applyAlignment="1" applyBorder="1" applyFont="1">
      <alignment vertical="center"/>
    </xf>
    <xf borderId="48" fillId="0" fontId="65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48" fillId="0" fontId="4" numFmtId="0" xfId="0" applyBorder="1" applyFont="1"/>
    <xf borderId="8" fillId="0" fontId="41" numFmtId="0" xfId="0" applyAlignment="1" applyBorder="1" applyFont="1">
      <alignment readingOrder="0" vertical="center"/>
    </xf>
    <xf borderId="4" fillId="0" fontId="8" numFmtId="0" xfId="0" applyAlignment="1" applyBorder="1" applyFont="1">
      <alignment vertical="center"/>
    </xf>
    <xf borderId="4" fillId="0" fontId="41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0"/>
    </xf>
    <xf borderId="5" fillId="0" fontId="41" numFmtId="0" xfId="0" applyAlignment="1" applyBorder="1" applyFont="1">
      <alignment readingOrder="0" vertical="center"/>
    </xf>
    <xf borderId="5" fillId="0" fontId="41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4" fillId="0" fontId="3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9" fillId="0" fontId="69" numFmtId="0" xfId="0" applyAlignment="1" applyBorder="1" applyFont="1">
      <alignment horizontal="center" readingOrder="0"/>
    </xf>
    <xf borderId="4" fillId="0" fontId="69" numFmtId="0" xfId="0" applyAlignment="1" applyBorder="1" applyFont="1">
      <alignment horizontal="center" readingOrder="0"/>
    </xf>
    <xf borderId="2" fillId="29" fontId="8" numFmtId="0" xfId="0" applyAlignment="1" applyBorder="1" applyFill="1" applyFont="1">
      <alignment readingOrder="0"/>
    </xf>
    <xf borderId="4" fillId="29" fontId="8" numFmtId="0" xfId="0" applyAlignment="1" applyBorder="1" applyFont="1">
      <alignment readingOrder="0"/>
    </xf>
    <xf borderId="4" fillId="29" fontId="8" numFmtId="0" xfId="0" applyAlignment="1" applyBorder="1" applyFont="1">
      <alignment horizontal="center" readingOrder="0"/>
    </xf>
    <xf borderId="5" fillId="29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2" fillId="0" fontId="8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2" fillId="17" fontId="8" numFmtId="0" xfId="0" applyAlignment="1" applyBorder="1" applyFont="1">
      <alignment readingOrder="0"/>
    </xf>
    <xf borderId="4" fillId="17" fontId="8" numFmtId="0" xfId="0" applyAlignment="1" applyBorder="1" applyFont="1">
      <alignment readingOrder="0"/>
    </xf>
    <xf borderId="4" fillId="17" fontId="8" numFmtId="0" xfId="0" applyAlignment="1" applyBorder="1" applyFont="1">
      <alignment horizontal="center"/>
    </xf>
    <xf borderId="5" fillId="17" fontId="8" numFmtId="0" xfId="0" applyAlignment="1" applyBorder="1" applyFont="1">
      <alignment horizontal="center" readingOrder="0" vertical="center"/>
    </xf>
    <xf borderId="2" fillId="0" fontId="8" numFmtId="0" xfId="0" applyBorder="1" applyFont="1"/>
  </cellXfs>
  <cellStyles count="1">
    <cellStyle xfId="0" name="Normal" builtinId="0"/>
  </cellStyles>
  <dxfs count="9">
    <dxf>
      <font>
        <color rgb="FFFFFFFF"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>
        <color rgb="FF434343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C9F376"/>
          <bgColor rgb="FFC9F376"/>
        </patternFill>
      </fill>
      <border/>
    </dxf>
    <dxf>
      <font>
        <i/>
        <color rgb="FF000000"/>
      </font>
      <fill>
        <patternFill patternType="solid">
          <fgColor rgb="FFC9F376"/>
          <bgColor rgb="FFC9F376"/>
        </patternFill>
      </fill>
      <border/>
    </dxf>
    <dxf>
      <font>
        <color rgb="FF434343"/>
      </font>
      <fill>
        <patternFill patternType="solid">
          <fgColor rgb="FFFFE599"/>
          <bgColor rgb="FFFFE599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</font>
      <fill>
        <patternFill patternType="solid">
          <fgColor rgb="FFC9F376"/>
          <bgColor rgb="FFC9F376"/>
        </patternFill>
      </fill>
      <border/>
    </dxf>
    <dxf>
      <font>
        <b/>
      </font>
      <fill>
        <patternFill patternType="solid">
          <fgColor rgb="FFECFBCE"/>
          <bgColor rgb="FFECFB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Informe General </a:t>
            </a:r>
          </a:p>
        </c:rich>
      </c:tx>
      <c:layout>
        <c:manualLayout>
          <c:xMode val="edge"/>
          <c:yMode val="edge"/>
          <c:x val="0.03185785536159601"/>
          <c:y val="0.020961887477313975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'Reporte '!$D$6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'Reporte '!$C$7:$C$11</c:f>
            </c:strRef>
          </c:cat>
          <c:val>
            <c:numRef>
              <c:f>'Reporte '!$D$7:$D$11</c:f>
              <c:numCache/>
            </c:numRef>
          </c:val>
        </c:ser>
        <c:ser>
          <c:idx val="1"/>
          <c:order val="1"/>
          <c:tx>
            <c:strRef>
              <c:f>'Reporte '!$E$6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'Reporte '!$C$7:$C$11</c:f>
            </c:strRef>
          </c:cat>
          <c:val>
            <c:numRef>
              <c:f>'Reporte '!$E$7:$E$11</c:f>
              <c:numCache/>
            </c:numRef>
          </c:val>
        </c:ser>
        <c:overlap val="100"/>
        <c:axId val="1981561149"/>
        <c:axId val="374063859"/>
      </c:barChart>
      <c:catAx>
        <c:axId val="1981561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Estado de Revisión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4063859"/>
      </c:catAx>
      <c:valAx>
        <c:axId val="374063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Nro De Casos Según Criticidad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15611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 Iteración de Correcciones MVP 5377</a:t>
            </a:r>
          </a:p>
        </c:rich>
      </c:tx>
      <c:layout>
        <c:manualLayout>
          <c:xMode val="edge"/>
          <c:yMode val="edge"/>
          <c:x val="0.03304268948481876"/>
          <c:y val="0.01810178579386995"/>
        </c:manualLayout>
      </c:layout>
      <c:overlay val="0"/>
    </c:title>
    <c:plotArea>
      <c:layout>
        <c:manualLayout>
          <c:xMode val="edge"/>
          <c:yMode val="edge"/>
          <c:x val="0.19607501498800958"/>
          <c:y val="0.30952380952380953"/>
          <c:w val="0.6775904654390368"/>
          <c:h val="0.5035495849716033"/>
        </c:manualLayout>
      </c:layout>
      <c:barChart>
        <c:barDir val="bar"/>
        <c:grouping val="stacked"/>
        <c:overlap val="100"/>
        <c:axId val="1689947992"/>
        <c:axId val="1970696408"/>
      </c:barChart>
      <c:catAx>
        <c:axId val="1689947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Desarrolador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70696408"/>
      </c:catAx>
      <c:valAx>
        <c:axId val="19706964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 De Incidencias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9947992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Resumen!$C$4</c:f>
            </c:strRef>
          </c:tx>
          <c:dPt>
            <c:idx val="0"/>
            <c:explosion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B6D7A8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E69138"/>
              </a:solidFill>
            </c:spPr>
          </c:dPt>
          <c:dPt>
            <c:idx val="6"/>
            <c:spPr>
              <a:solidFill>
                <a:srgbClr val="E06666"/>
              </a:solidFill>
            </c:spPr>
          </c:dPt>
          <c:dPt>
            <c:idx val="7"/>
            <c:spPr>
              <a:solidFill>
                <a:srgbClr val="F4CC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Resumen!$B$5:$B$12</c:f>
            </c:strRef>
          </c:cat>
          <c:val>
            <c:numRef>
              <c:f>Resumen!$C$5:$C$12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314325</xdr:colOff>
      <xdr:row>0</xdr:row>
      <xdr:rowOff>266700</xdr:rowOff>
    </xdr:from>
    <xdr:ext cx="7943850" cy="5248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485775</xdr:colOff>
      <xdr:row>37</xdr:row>
      <xdr:rowOff>19050</xdr:rowOff>
    </xdr:from>
    <xdr:ext cx="7124700" cy="34004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1</xdr:row>
      <xdr:rowOff>457200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rpperucrt.smartclic.pe/auth/login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figma.com/file/IDOnz1HeOrs7C2tnulr16q/Temas-TiendaLink?node-id=361%3A11901" TargetMode="External"/><Relationship Id="rId3" Type="http://schemas.openxmlformats.org/officeDocument/2006/relationships/hyperlink" Target="https://www.figma.com/file/IDOnz1HeOrs7C2tnulr16q/Temas-TiendaLink?node-id=361%3A10363" TargetMode="External"/><Relationship Id="rId4" Type="http://schemas.openxmlformats.org/officeDocument/2006/relationships/hyperlink" Target="https://www.figma.com/file/IDOnz1HeOrs7C2tnulr16q/Temas-TiendaLink?node-id=361%3A11154" TargetMode="External"/><Relationship Id="rId5" Type="http://schemas.openxmlformats.org/officeDocument/2006/relationships/hyperlink" Target="https://prnt.sc/Z034pt2Y50pr" TargetMode="External"/><Relationship Id="rId6" Type="http://schemas.openxmlformats.org/officeDocument/2006/relationships/drawing" Target="../drawings/drawing16.xml"/><Relationship Id="rId7" Type="http://schemas.openxmlformats.org/officeDocument/2006/relationships/vmlDrawing" Target="../drawings/vmlDrawing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3.63"/>
    <col customWidth="1" min="3" max="3" width="30.25"/>
    <col customWidth="1" min="4" max="4" width="38.63"/>
    <col customWidth="1" min="5" max="5" width="35.13"/>
    <col customWidth="1" min="6" max="6" width="25.38"/>
    <col customWidth="1" min="7" max="7" width="38.0"/>
    <col customWidth="1" min="8" max="8" width="41.75"/>
    <col customWidth="1" min="9" max="9" width="78.75"/>
  </cols>
  <sheetData>
    <row r="1">
      <c r="A1" s="1"/>
      <c r="B1" s="2" t="s">
        <v>0</v>
      </c>
      <c r="E1" s="3"/>
      <c r="F1" s="3"/>
      <c r="G1" s="3"/>
      <c r="H1" s="3"/>
      <c r="I1" s="3"/>
    </row>
    <row r="2">
      <c r="A2" s="3"/>
      <c r="B2" s="4"/>
      <c r="C2" s="3"/>
      <c r="D2" s="3"/>
      <c r="E2" s="3"/>
      <c r="F2" s="3"/>
      <c r="G2" s="3"/>
      <c r="H2" s="3"/>
      <c r="I2" s="3"/>
    </row>
    <row r="3">
      <c r="A3" s="5"/>
      <c r="B3" s="6" t="s">
        <v>1</v>
      </c>
      <c r="C3" s="7"/>
      <c r="D3" s="8"/>
      <c r="E3" s="3"/>
      <c r="F3" s="3"/>
      <c r="G3" s="3"/>
      <c r="H3" s="3"/>
      <c r="I3" s="3"/>
    </row>
    <row r="4">
      <c r="A4" s="9"/>
      <c r="B4" s="10" t="s">
        <v>2</v>
      </c>
      <c r="C4" s="11" t="s">
        <v>3</v>
      </c>
      <c r="D4" s="11" t="s">
        <v>4</v>
      </c>
      <c r="E4" s="3"/>
      <c r="F4" s="3"/>
      <c r="G4" s="3"/>
      <c r="H4" s="3"/>
      <c r="I4" s="3"/>
    </row>
    <row r="5">
      <c r="A5" s="9"/>
      <c r="B5" s="12" t="s">
        <v>5</v>
      </c>
      <c r="C5" s="13"/>
      <c r="D5" s="14"/>
      <c r="E5" s="3"/>
      <c r="F5" s="3"/>
      <c r="G5" s="3"/>
      <c r="H5" s="3"/>
      <c r="I5" s="3"/>
    </row>
    <row r="6">
      <c r="A6" s="9"/>
      <c r="B6" s="12" t="s">
        <v>6</v>
      </c>
      <c r="C6" s="13"/>
      <c r="D6" s="14"/>
      <c r="E6" s="3"/>
      <c r="F6" s="3"/>
      <c r="G6" s="3"/>
      <c r="H6" s="3"/>
      <c r="I6" s="3"/>
    </row>
    <row r="7">
      <c r="A7" s="9"/>
      <c r="B7" s="12" t="s">
        <v>7</v>
      </c>
      <c r="C7" s="15" t="s">
        <v>8</v>
      </c>
      <c r="D7" s="16"/>
      <c r="E7" s="3"/>
      <c r="F7" s="3"/>
      <c r="G7" s="3"/>
      <c r="H7" s="3"/>
      <c r="I7" s="3"/>
    </row>
    <row r="8">
      <c r="A8" s="9"/>
      <c r="B8" s="17" t="s">
        <v>9</v>
      </c>
      <c r="C8" s="18" t="s">
        <v>10</v>
      </c>
      <c r="D8" s="19"/>
      <c r="E8" s="3"/>
      <c r="F8" s="3"/>
      <c r="G8" s="3"/>
      <c r="H8" s="3"/>
      <c r="I8" s="3"/>
    </row>
    <row r="9">
      <c r="A9" s="3"/>
      <c r="B9" s="20"/>
      <c r="C9" s="21"/>
      <c r="D9" s="21"/>
      <c r="E9" s="3"/>
      <c r="F9" s="3"/>
      <c r="G9" s="3"/>
      <c r="H9" s="3"/>
      <c r="I9" s="3"/>
    </row>
    <row r="10">
      <c r="A10" s="22"/>
      <c r="B10" s="23" t="s">
        <v>11</v>
      </c>
      <c r="C10" s="3"/>
      <c r="D10" s="3"/>
      <c r="E10" s="3"/>
      <c r="F10" s="3"/>
      <c r="G10" s="3"/>
      <c r="H10" s="3"/>
      <c r="I10" s="3"/>
    </row>
    <row r="11">
      <c r="A11" s="24"/>
      <c r="B11" s="25" t="s">
        <v>12</v>
      </c>
      <c r="C11" s="25" t="s">
        <v>13</v>
      </c>
      <c r="D11" s="25" t="s">
        <v>14</v>
      </c>
      <c r="E11" s="25" t="s">
        <v>15</v>
      </c>
      <c r="F11" s="25" t="s">
        <v>16</v>
      </c>
      <c r="G11" s="25" t="s">
        <v>17</v>
      </c>
      <c r="H11" s="25" t="s">
        <v>18</v>
      </c>
      <c r="I11" s="25" t="s">
        <v>19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4"/>
      <c r="B12" s="25" t="s">
        <v>20</v>
      </c>
      <c r="C12" s="25" t="s">
        <v>21</v>
      </c>
      <c r="D12" s="25" t="s">
        <v>22</v>
      </c>
      <c r="E12" s="25" t="s">
        <v>23</v>
      </c>
      <c r="F12" s="25" t="s">
        <v>24</v>
      </c>
      <c r="G12" s="25" t="s">
        <v>25</v>
      </c>
      <c r="H12" s="25" t="s">
        <v>26</v>
      </c>
      <c r="I12" s="25" t="s">
        <v>27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4"/>
      <c r="B13" s="26" t="s">
        <v>28</v>
      </c>
      <c r="C13" s="26" t="s">
        <v>29</v>
      </c>
      <c r="D13" s="26" t="s">
        <v>30</v>
      </c>
      <c r="E13" s="26" t="s">
        <v>31</v>
      </c>
      <c r="F13" s="26" t="s">
        <v>32</v>
      </c>
      <c r="G13" s="26" t="s">
        <v>33</v>
      </c>
      <c r="H13" s="26" t="s">
        <v>34</v>
      </c>
      <c r="I13" s="26" t="s">
        <v>35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7"/>
      <c r="B14" s="28"/>
      <c r="C14" s="29"/>
      <c r="D14" s="29"/>
      <c r="E14" s="30"/>
      <c r="F14" s="16"/>
      <c r="G14" s="16"/>
      <c r="H14" s="29"/>
      <c r="I14" s="16"/>
    </row>
    <row r="15">
      <c r="A15" s="3"/>
      <c r="B15" s="28"/>
      <c r="C15" s="29"/>
      <c r="D15" s="29"/>
      <c r="E15" s="30"/>
      <c r="F15" s="16"/>
      <c r="G15" s="16"/>
      <c r="H15" s="16"/>
      <c r="I15" s="16"/>
    </row>
    <row r="16">
      <c r="A16" s="3"/>
    </row>
    <row r="17">
      <c r="A17" s="3"/>
    </row>
    <row r="18">
      <c r="A18" s="22"/>
      <c r="B18" s="23" t="s">
        <v>36</v>
      </c>
      <c r="C18" s="3"/>
      <c r="D18" s="3"/>
      <c r="E18" s="3"/>
      <c r="F18" s="3"/>
      <c r="G18" s="3"/>
      <c r="H18" s="3"/>
    </row>
    <row r="19">
      <c r="A19" s="24"/>
      <c r="B19" s="31" t="s">
        <v>37</v>
      </c>
      <c r="C19" s="8"/>
      <c r="D19" s="32" t="s">
        <v>38</v>
      </c>
      <c r="E19" s="7"/>
      <c r="F19" s="7"/>
      <c r="G19" s="7"/>
      <c r="H19" s="8"/>
      <c r="I19" s="3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24"/>
      <c r="B20" s="26" t="s">
        <v>39</v>
      </c>
      <c r="C20" s="26" t="s">
        <v>40</v>
      </c>
      <c r="D20" s="34" t="s">
        <v>41</v>
      </c>
      <c r="E20" s="26" t="s">
        <v>42</v>
      </c>
      <c r="F20" s="26" t="s">
        <v>43</v>
      </c>
      <c r="G20" s="26" t="s">
        <v>44</v>
      </c>
      <c r="H20" s="26" t="s">
        <v>45</v>
      </c>
      <c r="I20" s="35" t="s">
        <v>46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9"/>
      <c r="B21" s="28"/>
      <c r="C21" s="29"/>
      <c r="D21" s="36"/>
      <c r="E21" s="36"/>
      <c r="F21" s="36"/>
      <c r="G21" s="37"/>
      <c r="H21" s="28"/>
      <c r="I21" s="28"/>
    </row>
    <row r="22">
      <c r="A22" s="9"/>
      <c r="B22" s="28"/>
      <c r="C22" s="29"/>
      <c r="D22" s="36"/>
      <c r="E22" s="36"/>
      <c r="F22" s="36"/>
      <c r="G22" s="37"/>
      <c r="H22" s="28"/>
      <c r="I22" s="28"/>
    </row>
    <row r="23">
      <c r="A23" s="9"/>
      <c r="B23" s="4"/>
      <c r="C23" s="3"/>
      <c r="D23" s="3"/>
      <c r="E23" s="38"/>
      <c r="G23" s="38"/>
      <c r="H23" s="3"/>
    </row>
    <row r="24">
      <c r="A24" s="9"/>
      <c r="B24" s="4"/>
      <c r="C24" s="3"/>
      <c r="D24" s="3"/>
      <c r="E24" s="3"/>
      <c r="F24" s="3"/>
      <c r="G24" s="3"/>
      <c r="H24" s="3"/>
    </row>
    <row r="25">
      <c r="A25" s="9"/>
      <c r="B25" s="39" t="s">
        <v>47</v>
      </c>
      <c r="C25" s="8"/>
      <c r="D25" s="3"/>
      <c r="E25" s="3"/>
      <c r="F25" s="3"/>
      <c r="G25" s="3"/>
      <c r="H25" s="3"/>
    </row>
    <row r="26">
      <c r="A26" s="3"/>
      <c r="B26" s="10" t="s">
        <v>48</v>
      </c>
      <c r="C26" s="40" t="s">
        <v>49</v>
      </c>
      <c r="D26" s="3"/>
      <c r="E26" s="3"/>
      <c r="F26" s="3"/>
      <c r="G26" s="3"/>
      <c r="H26" s="3"/>
    </row>
    <row r="27">
      <c r="A27" s="3"/>
      <c r="B27" s="12" t="s">
        <v>50</v>
      </c>
      <c r="C27" s="28" t="s">
        <v>51</v>
      </c>
      <c r="D27" s="41"/>
      <c r="E27" s="27"/>
      <c r="F27" s="27"/>
      <c r="G27" s="3"/>
      <c r="H27" s="3"/>
    </row>
    <row r="28">
      <c r="A28" s="3"/>
      <c r="B28" s="12" t="s">
        <v>52</v>
      </c>
      <c r="C28" s="16" t="s">
        <v>51</v>
      </c>
      <c r="D28" s="3"/>
      <c r="E28" s="27"/>
      <c r="F28" s="3"/>
      <c r="G28" s="3"/>
      <c r="H28" s="3"/>
      <c r="I28" s="3"/>
    </row>
    <row r="29">
      <c r="B29" s="12" t="s">
        <v>53</v>
      </c>
      <c r="C29" s="28" t="s">
        <v>54</v>
      </c>
      <c r="D29" s="3"/>
      <c r="E29" s="3"/>
      <c r="F29" s="3"/>
      <c r="G29" s="3"/>
      <c r="H29" s="3"/>
      <c r="I29" s="3"/>
    </row>
    <row r="30">
      <c r="B30" s="12" t="s">
        <v>55</v>
      </c>
      <c r="C30" s="42" t="s">
        <v>56</v>
      </c>
      <c r="D30" s="3"/>
      <c r="E30" s="27"/>
      <c r="F30" s="3"/>
      <c r="G30" s="3"/>
      <c r="H30" s="3"/>
      <c r="I30" s="4"/>
    </row>
    <row r="31">
      <c r="B31" s="43" t="s">
        <v>57</v>
      </c>
      <c r="C31" s="44"/>
      <c r="D31" s="3"/>
      <c r="E31" s="3"/>
      <c r="F31" s="3"/>
      <c r="G31" s="3"/>
      <c r="H31" s="3"/>
      <c r="I31" s="4"/>
    </row>
    <row r="32">
      <c r="B32" s="20"/>
      <c r="C32" s="21"/>
      <c r="D32" s="3"/>
      <c r="E32" s="3"/>
      <c r="F32" s="3"/>
      <c r="G32" s="3"/>
      <c r="H32" s="3"/>
      <c r="I32" s="3"/>
    </row>
    <row r="33">
      <c r="B33" s="4"/>
      <c r="C33" s="3"/>
      <c r="D33" s="3"/>
      <c r="E33" s="3"/>
      <c r="F33" s="3"/>
      <c r="G33" s="3"/>
      <c r="H33" s="3"/>
      <c r="I33" s="3"/>
    </row>
    <row r="34">
      <c r="B34" s="4"/>
      <c r="C34" s="3"/>
      <c r="D34" s="3"/>
      <c r="E34" s="3"/>
      <c r="F34" s="3"/>
      <c r="G34" s="3"/>
      <c r="H34" s="3"/>
      <c r="I34" s="3"/>
    </row>
    <row r="35">
      <c r="B35" s="45"/>
      <c r="I35" s="3"/>
    </row>
    <row r="36">
      <c r="B36" s="45"/>
      <c r="I36" s="3"/>
    </row>
    <row r="37">
      <c r="B37" s="45"/>
      <c r="I37" s="3"/>
    </row>
    <row r="38">
      <c r="B38" s="45"/>
      <c r="I38" s="3"/>
    </row>
    <row r="39">
      <c r="B39" s="45"/>
      <c r="I39" s="3"/>
    </row>
    <row r="40">
      <c r="I40" s="3"/>
    </row>
    <row r="41">
      <c r="I41" s="3"/>
    </row>
    <row r="42">
      <c r="I42" s="3"/>
    </row>
    <row r="43">
      <c r="I43" s="3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</sheetData>
  <mergeCells count="5">
    <mergeCell ref="B1:D1"/>
    <mergeCell ref="B3:D3"/>
    <mergeCell ref="B19:C19"/>
    <mergeCell ref="D19:H19"/>
    <mergeCell ref="B25:C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63"/>
    <col customWidth="1" min="2" max="2" width="28.5"/>
    <col customWidth="1" min="3" max="3" width="30.25"/>
    <col customWidth="1" min="4" max="4" width="48.75"/>
  </cols>
  <sheetData>
    <row r="1">
      <c r="A1" s="1"/>
      <c r="B1" s="2" t="s">
        <v>58</v>
      </c>
    </row>
    <row r="2">
      <c r="A2" s="3"/>
      <c r="B2" s="4"/>
      <c r="C2" s="3"/>
      <c r="D2" s="3"/>
    </row>
    <row r="3">
      <c r="A3" s="9"/>
      <c r="B3" s="46" t="s">
        <v>1</v>
      </c>
      <c r="C3" s="3"/>
      <c r="D3" s="3"/>
    </row>
    <row r="4">
      <c r="A4" s="47"/>
      <c r="B4" s="10" t="s">
        <v>2</v>
      </c>
      <c r="C4" s="10" t="s">
        <v>49</v>
      </c>
      <c r="D4" s="10" t="s">
        <v>59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>
      <c r="A5" s="9"/>
      <c r="B5" s="12" t="s">
        <v>5</v>
      </c>
      <c r="C5" s="48"/>
      <c r="D5" s="14"/>
    </row>
    <row r="6">
      <c r="A6" s="9"/>
      <c r="B6" s="12" t="s">
        <v>6</v>
      </c>
      <c r="C6" s="48"/>
      <c r="D6" s="14"/>
    </row>
    <row r="7">
      <c r="A7" s="9"/>
      <c r="B7" s="12" t="s">
        <v>7</v>
      </c>
      <c r="C7" s="49" t="s">
        <v>60</v>
      </c>
      <c r="D7" s="14"/>
    </row>
    <row r="8">
      <c r="A8" s="3"/>
      <c r="B8" s="43" t="s">
        <v>61</v>
      </c>
      <c r="C8" s="18" t="s">
        <v>10</v>
      </c>
      <c r="D8" s="50"/>
    </row>
    <row r="9">
      <c r="A9" s="22"/>
      <c r="B9" s="20"/>
      <c r="C9" s="21"/>
      <c r="D9" s="21"/>
    </row>
    <row r="10">
      <c r="A10" s="3"/>
      <c r="B10" s="51" t="s">
        <v>62</v>
      </c>
      <c r="C10" s="3"/>
      <c r="D10" s="3"/>
    </row>
    <row r="11">
      <c r="A11" s="3"/>
      <c r="B11" s="52" t="s">
        <v>2</v>
      </c>
      <c r="C11" s="53" t="s">
        <v>49</v>
      </c>
      <c r="D11" s="53" t="s">
        <v>59</v>
      </c>
    </row>
    <row r="12">
      <c r="A12" s="3"/>
      <c r="B12" s="54" t="s">
        <v>63</v>
      </c>
      <c r="C12" s="55"/>
      <c r="D12" s="56"/>
    </row>
    <row r="13">
      <c r="A13" s="3"/>
      <c r="B13" s="12" t="s">
        <v>64</v>
      </c>
      <c r="C13" s="49" t="s">
        <v>65</v>
      </c>
      <c r="D13" s="42" t="s">
        <v>66</v>
      </c>
    </row>
    <row r="14">
      <c r="A14" s="3"/>
      <c r="B14" s="12" t="s">
        <v>67</v>
      </c>
      <c r="C14" s="49" t="s">
        <v>68</v>
      </c>
      <c r="D14" s="42" t="s">
        <v>69</v>
      </c>
    </row>
    <row r="15">
      <c r="A15" s="3"/>
      <c r="B15" s="12" t="s">
        <v>70</v>
      </c>
      <c r="C15" s="49" t="s">
        <v>71</v>
      </c>
      <c r="D15" s="42" t="s">
        <v>72</v>
      </c>
    </row>
    <row r="16">
      <c r="A16" s="22"/>
      <c r="B16" s="43" t="s">
        <v>73</v>
      </c>
      <c r="C16" s="18" t="s">
        <v>74</v>
      </c>
      <c r="D16" s="57" t="s">
        <v>75</v>
      </c>
    </row>
    <row r="17">
      <c r="A17" s="3"/>
      <c r="B17" s="20"/>
      <c r="C17" s="3"/>
      <c r="D17" s="21"/>
    </row>
    <row r="18">
      <c r="A18" s="4"/>
      <c r="B18" s="51" t="s">
        <v>76</v>
      </c>
      <c r="C18" s="58"/>
      <c r="D18" s="59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>
      <c r="A19" s="3"/>
      <c r="B19" s="52" t="s">
        <v>2</v>
      </c>
      <c r="C19" s="53" t="s">
        <v>49</v>
      </c>
      <c r="D19" s="53" t="s">
        <v>59</v>
      </c>
    </row>
    <row r="20">
      <c r="A20" s="3"/>
      <c r="B20" s="60"/>
      <c r="C20" s="48"/>
      <c r="D20" s="14"/>
    </row>
    <row r="21">
      <c r="A21" s="22"/>
      <c r="B21" s="12" t="s">
        <v>77</v>
      </c>
      <c r="C21" s="49" t="s">
        <v>78</v>
      </c>
      <c r="D21" s="42" t="s">
        <v>79</v>
      </c>
    </row>
    <row r="22">
      <c r="A22" s="9"/>
      <c r="B22" s="12" t="s">
        <v>80</v>
      </c>
      <c r="C22" s="49" t="s">
        <v>81</v>
      </c>
      <c r="D22" s="42" t="s">
        <v>82</v>
      </c>
    </row>
    <row r="23">
      <c r="A23" s="9"/>
      <c r="B23" s="12" t="s">
        <v>83</v>
      </c>
      <c r="C23" s="49" t="s">
        <v>84</v>
      </c>
      <c r="D23" s="42" t="s">
        <v>82</v>
      </c>
    </row>
    <row r="24">
      <c r="A24" s="9"/>
      <c r="B24" s="12" t="s">
        <v>85</v>
      </c>
      <c r="C24" s="49" t="s">
        <v>86</v>
      </c>
      <c r="D24" s="42" t="s">
        <v>82</v>
      </c>
    </row>
    <row r="25">
      <c r="A25" s="9"/>
      <c r="B25" s="12" t="s">
        <v>87</v>
      </c>
      <c r="C25" s="49" t="s">
        <v>88</v>
      </c>
      <c r="D25" s="42" t="s">
        <v>82</v>
      </c>
    </row>
    <row r="26">
      <c r="A26" s="9"/>
      <c r="B26" s="4"/>
      <c r="C26" s="3"/>
      <c r="D26" s="3"/>
    </row>
    <row r="27">
      <c r="A27" s="9"/>
      <c r="B27" s="4"/>
      <c r="C27" s="3"/>
      <c r="D27" s="3"/>
    </row>
    <row r="28">
      <c r="A28" s="3"/>
      <c r="B28" s="4"/>
      <c r="C28" s="3"/>
      <c r="D28" s="3"/>
    </row>
    <row r="29">
      <c r="A29" s="3"/>
      <c r="B29" s="4"/>
      <c r="C29" s="3"/>
      <c r="D29" s="3"/>
    </row>
    <row r="30">
      <c r="A30" s="3"/>
      <c r="B30" s="51" t="s">
        <v>47</v>
      </c>
      <c r="C30" s="3"/>
      <c r="D30" s="3"/>
    </row>
    <row r="31">
      <c r="B31" s="52" t="s">
        <v>48</v>
      </c>
      <c r="C31" s="53" t="s">
        <v>49</v>
      </c>
      <c r="D31" s="3"/>
    </row>
    <row r="32">
      <c r="B32" s="12" t="s">
        <v>50</v>
      </c>
      <c r="C32" s="42" t="s">
        <v>89</v>
      </c>
      <c r="D32" s="3"/>
    </row>
    <row r="33">
      <c r="B33" s="12" t="s">
        <v>52</v>
      </c>
      <c r="C33" s="14"/>
      <c r="D33" s="3"/>
    </row>
    <row r="34">
      <c r="B34" s="12" t="s">
        <v>53</v>
      </c>
      <c r="C34" s="42" t="s">
        <v>90</v>
      </c>
      <c r="D34" s="3"/>
    </row>
    <row r="35">
      <c r="B35" s="12" t="s">
        <v>55</v>
      </c>
      <c r="C35" s="42" t="s">
        <v>56</v>
      </c>
      <c r="D35" s="3"/>
    </row>
    <row r="36">
      <c r="B36" s="43" t="s">
        <v>57</v>
      </c>
      <c r="C36" s="44"/>
      <c r="D36" s="3"/>
    </row>
    <row r="37">
      <c r="B37" s="20"/>
      <c r="C37" s="21"/>
      <c r="D37" s="3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13"/>
    <col customWidth="1" min="2" max="2" width="74.0"/>
    <col customWidth="1" min="3" max="3" width="57.0"/>
    <col customWidth="1" hidden="1" min="4" max="4" width="22.5"/>
    <col customWidth="1" min="5" max="5" width="21.75"/>
    <col customWidth="1" min="6" max="6" width="36.38"/>
  </cols>
  <sheetData>
    <row r="1">
      <c r="A1" s="61"/>
      <c r="B1" s="61" t="s">
        <v>91</v>
      </c>
      <c r="C1" s="62"/>
      <c r="D1" s="62"/>
      <c r="E1" s="63" t="str">
        <f>CONCATENATE("https://redmine.sreasons.com/issues/",C1)</f>
        <v>https://redmine.sreasons.com/issues/</v>
      </c>
      <c r="F1" s="64"/>
    </row>
    <row r="2" ht="18.0" customHeight="1">
      <c r="A2" s="61"/>
      <c r="B2" s="61"/>
      <c r="C2" s="61"/>
      <c r="D2" s="61"/>
      <c r="E2" s="65" t="s">
        <v>92</v>
      </c>
      <c r="F2" s="64"/>
    </row>
    <row r="3" ht="30.0" customHeight="1">
      <c r="A3" s="66" t="s">
        <v>93</v>
      </c>
      <c r="B3" s="67" t="s">
        <v>94</v>
      </c>
      <c r="C3" s="67" t="s">
        <v>95</v>
      </c>
      <c r="D3" s="67" t="s">
        <v>96</v>
      </c>
      <c r="E3" s="66" t="s">
        <v>97</v>
      </c>
      <c r="F3" s="67" t="s">
        <v>98</v>
      </c>
    </row>
    <row r="4">
      <c r="A4" s="68" t="str">
        <f t="shared" ref="A4:A7" si="1">CONCATENATE("ERP2CRT-01",TEXT($C$1,"00"),"0",ROW(A4) - ROW($A$4) + 1)</f>
        <v>ERP2CRT-010001</v>
      </c>
      <c r="B4" s="69"/>
      <c r="C4" s="70"/>
      <c r="D4" s="71"/>
      <c r="E4" s="72">
        <f>COUNTIF('Test Run'!A:A,A4)</f>
        <v>0</v>
      </c>
      <c r="F4" s="72">
        <f>COUNTIFS('Test Run'!A:A,A4,'Test Run'!H:H,"Corregido")</f>
        <v>0</v>
      </c>
    </row>
    <row r="5">
      <c r="A5" s="68" t="str">
        <f t="shared" si="1"/>
        <v>ERP2CRT-010002</v>
      </c>
      <c r="B5" s="73"/>
      <c r="C5" s="70"/>
      <c r="D5" s="74"/>
      <c r="E5" s="72">
        <f>COUNTIF('Test Run'!A:A,A5)</f>
        <v>0</v>
      </c>
      <c r="F5" s="72">
        <f>COUNTIFS('Test Run'!A:A,A5,'Test Run'!H:H,"Corregido")</f>
        <v>0</v>
      </c>
    </row>
    <row r="6">
      <c r="A6" s="68" t="str">
        <f t="shared" si="1"/>
        <v>ERP2CRT-010003</v>
      </c>
      <c r="B6" s="69"/>
      <c r="C6" s="69"/>
      <c r="D6" s="74"/>
      <c r="E6" s="72">
        <f>COUNTIF('Test Run'!A:A,A6)</f>
        <v>0</v>
      </c>
      <c r="F6" s="72">
        <f>COUNTIFS('Test Run'!A:A,A6,'Test Run'!H:H,"Corregido")</f>
        <v>0</v>
      </c>
    </row>
    <row r="7">
      <c r="A7" s="68" t="str">
        <f t="shared" si="1"/>
        <v>ERP2CRT-010004</v>
      </c>
      <c r="B7" s="73"/>
      <c r="C7" s="73"/>
      <c r="D7" s="74"/>
      <c r="E7" s="72">
        <f>COUNTIF('Test Run'!A:A,A7)</f>
        <v>0</v>
      </c>
      <c r="F7" s="72">
        <f>COUNTIFS('Test Run'!A:A,A7,'Test Run'!H:H,"Corregido")</f>
        <v>0</v>
      </c>
    </row>
    <row r="8">
      <c r="A8" s="68" t="str">
        <f>CONCATENATE("ERP2CRT-01",TEXT($C$1,"00"),"REG")</f>
        <v>ERP2CRT-0100REG</v>
      </c>
      <c r="B8" s="69"/>
      <c r="C8" s="75"/>
      <c r="D8" s="71"/>
      <c r="E8" s="72">
        <f>COUNTIF('Test Run'!A:A,A8)</f>
        <v>0</v>
      </c>
      <c r="F8" s="72">
        <f>COUNTIFS('Test Run'!A:A,A8,'Test Run'!H:H,"Corregido")</f>
        <v>0</v>
      </c>
    </row>
    <row r="9" ht="27.75" customHeight="1">
      <c r="A9" s="68"/>
      <c r="B9" s="69"/>
      <c r="C9" s="75"/>
      <c r="D9" s="71"/>
      <c r="E9" s="72">
        <f>COUNTIF('Test Run'!A:A,A9)</f>
        <v>0</v>
      </c>
      <c r="F9" s="72">
        <f>COUNTIFS('Test Run'!A:A,A9,'Test Run'!H:H,"Corregido")</f>
        <v>0</v>
      </c>
    </row>
    <row r="10" ht="29.25" customHeight="1">
      <c r="A10" s="68"/>
      <c r="B10" s="69"/>
      <c r="C10" s="75"/>
      <c r="D10" s="71"/>
      <c r="E10" s="72">
        <f>COUNTIF('Test Run'!A:A,A10)</f>
        <v>0</v>
      </c>
      <c r="F10" s="72">
        <f>COUNTIFS('Test Run'!A:A,A10,'Test Run'!H:H,"Corregido")</f>
        <v>0</v>
      </c>
    </row>
    <row r="11">
      <c r="A11" s="68"/>
      <c r="B11" s="69"/>
      <c r="C11" s="75"/>
      <c r="D11" s="71"/>
      <c r="E11" s="72">
        <f>COUNTIF('Test Run'!A:A,A11)</f>
        <v>0</v>
      </c>
      <c r="F11" s="72">
        <f>COUNTIFS('Test Run'!A:A,A11,'Test Run'!H:H,"Corregido")</f>
        <v>0</v>
      </c>
    </row>
    <row r="12">
      <c r="A12" s="68"/>
      <c r="B12" s="69"/>
      <c r="C12" s="75"/>
      <c r="D12" s="71"/>
      <c r="E12" s="72">
        <f>COUNTIF('Test Run'!A:A,A12)</f>
        <v>0</v>
      </c>
      <c r="F12" s="72">
        <f>COUNTIFS('Test Run'!A:A,A12,'Test Run'!H:H,"Corregido")</f>
        <v>0</v>
      </c>
    </row>
    <row r="13">
      <c r="A13" s="68"/>
      <c r="B13" s="76"/>
      <c r="C13" s="75"/>
      <c r="D13" s="77"/>
      <c r="E13" s="72">
        <f>COUNTIF('Test Run'!A:A,A13)</f>
        <v>0</v>
      </c>
      <c r="F13" s="72">
        <f>COUNTIFS('Test Run'!A:A,A13,'Test Run'!H:H,"Corregido")</f>
        <v>0</v>
      </c>
    </row>
    <row r="14">
      <c r="A14" s="68"/>
      <c r="B14" s="76"/>
      <c r="C14" s="75"/>
      <c r="D14" s="77"/>
      <c r="E14" s="72">
        <f>COUNTIF('Test Run'!A:A,A14)</f>
        <v>0</v>
      </c>
      <c r="F14" s="72">
        <f>COUNTIFS('Test Run'!A:A,A14,'Test Run'!H:H,"Corregido")</f>
        <v>0</v>
      </c>
    </row>
    <row r="15">
      <c r="A15" s="68"/>
      <c r="B15" s="76"/>
      <c r="C15" s="75"/>
      <c r="D15" s="77"/>
      <c r="E15" s="72">
        <f>COUNTIF('Test Run'!A:A,A15)</f>
        <v>0</v>
      </c>
      <c r="F15" s="72">
        <f>COUNTIFS('Test Run'!A:A,A15,'Test Run'!H:H,"Corregido")</f>
        <v>0</v>
      </c>
    </row>
    <row r="16">
      <c r="A16" s="68"/>
      <c r="B16" s="76"/>
      <c r="C16" s="75"/>
      <c r="D16" s="77"/>
      <c r="E16" s="72">
        <f>COUNTIF('Test Run'!A:A,A16)</f>
        <v>0</v>
      </c>
      <c r="F16" s="72">
        <f>COUNTIFS('Test Run'!A:A,A16,'Test Run'!H:H,"Corregido")</f>
        <v>0</v>
      </c>
    </row>
    <row r="17">
      <c r="A17" s="68"/>
      <c r="B17" s="76"/>
      <c r="C17" s="75"/>
      <c r="D17" s="77"/>
      <c r="E17" s="72">
        <f>COUNTIF('Test Run'!A:A,A17)</f>
        <v>0</v>
      </c>
      <c r="F17" s="72">
        <f>COUNTIFS('Test Run'!A:A,A17,'Test Run'!H:H,"Corregido")</f>
        <v>0</v>
      </c>
    </row>
    <row r="18" ht="17.25" customHeight="1">
      <c r="B18" s="69"/>
      <c r="C18" s="78"/>
      <c r="D18" s="72"/>
      <c r="E18" s="72">
        <f>COUNTIF('Test Run'!A:A,A18)</f>
        <v>0</v>
      </c>
      <c r="F18" s="72">
        <f>COUNTIFS('Test Run'!A:A,A18,'Test Run'!H:H,"Corregido")</f>
        <v>0</v>
      </c>
    </row>
    <row r="19">
      <c r="A19" s="79"/>
      <c r="B19" s="79"/>
      <c r="C19" s="80">
        <f>E19-F19</f>
        <v>0</v>
      </c>
      <c r="D19" s="80"/>
      <c r="E19" s="79">
        <f t="shared" ref="E19:F19" si="2">SUM(E4:E13)</f>
        <v>0</v>
      </c>
      <c r="F19" s="79">
        <f t="shared" si="2"/>
        <v>0</v>
      </c>
    </row>
    <row r="20">
      <c r="A20" s="81"/>
      <c r="B20" s="81"/>
      <c r="C20" s="82" t="s">
        <v>99</v>
      </c>
      <c r="D20" s="82"/>
      <c r="E20" s="83" t="s">
        <v>100</v>
      </c>
      <c r="F20" s="83" t="s">
        <v>101</v>
      </c>
    </row>
    <row r="21">
      <c r="A21" s="84"/>
      <c r="B21" s="76"/>
      <c r="C21" s="85"/>
      <c r="D21" s="72"/>
      <c r="E21" s="72"/>
      <c r="F21" s="72"/>
    </row>
  </sheetData>
  <autoFilter ref="$A$3:$F$5"/>
  <customSheetViews>
    <customSheetView guid="{EFFCC731-4C38-4EFC-9B3F-E71CC35B304D}" filter="1" showAutoFilter="1">
      <autoFilter ref="$A$3:$F$18"/>
    </customSheetView>
    <customSheetView guid="{2FF8D759-EFAB-4347-8593-0E948FC0E4E0}" filter="1" showAutoFilter="1">
      <autoFilter ref="$A$3:$F$18"/>
    </customSheetView>
    <customSheetView guid="{5DF3053E-F225-4014-898E-852EF40825A9}" filter="1" showAutoFilter="1">
      <autoFilter ref="$A$3:$F$18"/>
    </customSheetView>
  </customSheetViews>
  <mergeCells count="2">
    <mergeCell ref="E1:F1"/>
    <mergeCell ref="E2:F2"/>
  </mergeCells>
  <conditionalFormatting sqref="E1:F1 E3:F21">
    <cfRule type="containsText" dxfId="0" priority="1" operator="containsText" text="0">
      <formula>NOT(ISERROR(SEARCH(("0"),(E1))))</formula>
    </cfRule>
  </conditionalFormatting>
  <conditionalFormatting sqref="E4:F21">
    <cfRule type="cellIs" dxfId="1" priority="2" operator="equal">
      <formula>0</formula>
    </cfRule>
  </conditionalFormatting>
  <dataValidations>
    <dataValidation type="list" allowBlank="1" showErrorMessage="1" sqref="C2">
      <formula1>"Línea 1,Línea 2,Línea 3,Línea4"</formula1>
    </dataValidation>
    <dataValidation type="list" allowBlank="1" showErrorMessage="1" sqref="E2">
      <formula1>"https://erpperucrt.smartclic.pe/auth/login,https://erpperucrt.sreasons.com/auth/login,https://erpperucrt.gitoca.com/auth/login,https://erpperucrt.estudiogainza.com/auth/login"</formula1>
    </dataValidation>
    <dataValidation type="list" allowBlank="1" sqref="D4:D7">
      <formula1>Configuraciones!$G$3:$G$16</formula1>
    </dataValidation>
    <dataValidation type="list" allowBlank="1" showErrorMessage="1" sqref="B1">
      <formula1>"MVP Request"</formula1>
    </dataValidation>
  </dataValidations>
  <hyperlinks>
    <hyperlink r:id="rId2" ref="E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25"/>
    <col customWidth="1" min="2" max="2" width="51.75"/>
    <col customWidth="1" min="3" max="4" width="42.0"/>
    <col customWidth="1" min="5" max="5" width="21.75"/>
    <col customWidth="1" min="6" max="6" width="21.13"/>
    <col customWidth="1" min="7" max="7" width="29.38"/>
    <col customWidth="1" min="8" max="8" width="54.88"/>
  </cols>
  <sheetData>
    <row r="1" ht="56.25" customHeight="1">
      <c r="A1" s="86" t="s">
        <v>102</v>
      </c>
      <c r="B1" s="87" t="s">
        <v>103</v>
      </c>
      <c r="C1" s="87" t="s">
        <v>104</v>
      </c>
      <c r="D1" s="87" t="s">
        <v>105</v>
      </c>
      <c r="E1" s="87" t="s">
        <v>106</v>
      </c>
      <c r="F1" s="87" t="s">
        <v>107</v>
      </c>
      <c r="G1" s="87" t="s">
        <v>108</v>
      </c>
      <c r="H1" s="88" t="s">
        <v>52</v>
      </c>
    </row>
    <row r="2">
      <c r="A2" s="89"/>
      <c r="B2" s="90"/>
      <c r="C2" s="90"/>
      <c r="D2" s="90"/>
      <c r="E2" s="91"/>
      <c r="F2" s="92" t="b">
        <v>0</v>
      </c>
      <c r="G2" s="90"/>
      <c r="H2" s="93"/>
    </row>
    <row r="3">
      <c r="A3" s="89"/>
      <c r="B3" s="69"/>
      <c r="C3" s="69"/>
      <c r="D3" s="69"/>
      <c r="E3" s="91"/>
      <c r="F3" s="92" t="b">
        <v>0</v>
      </c>
      <c r="G3" s="69"/>
      <c r="H3" s="93"/>
    </row>
    <row r="4">
      <c r="A4" s="89"/>
      <c r="B4" s="69"/>
      <c r="C4" s="69"/>
      <c r="D4" s="69"/>
      <c r="E4" s="91"/>
      <c r="F4" s="92" t="b">
        <v>0</v>
      </c>
      <c r="G4" s="69"/>
      <c r="H4" s="93"/>
    </row>
    <row r="5">
      <c r="A5" s="89"/>
      <c r="B5" s="69"/>
      <c r="C5" s="69"/>
      <c r="D5" s="69"/>
      <c r="E5" s="91"/>
      <c r="F5" s="92" t="b">
        <v>0</v>
      </c>
      <c r="G5" s="69"/>
      <c r="H5" s="93"/>
    </row>
    <row r="6">
      <c r="A6" s="89"/>
      <c r="B6" s="69"/>
      <c r="C6" s="69"/>
      <c r="D6" s="69"/>
      <c r="E6" s="91"/>
      <c r="F6" s="92" t="b">
        <v>0</v>
      </c>
      <c r="G6" s="69"/>
      <c r="H6" s="93"/>
    </row>
    <row r="7">
      <c r="A7" s="89"/>
      <c r="B7" s="69"/>
      <c r="C7" s="69"/>
      <c r="D7" s="69"/>
      <c r="E7" s="91"/>
      <c r="F7" s="94" t="b">
        <v>0</v>
      </c>
      <c r="G7" s="69"/>
      <c r="H7" s="93"/>
    </row>
    <row r="8">
      <c r="A8" s="89"/>
      <c r="B8" s="69"/>
      <c r="C8" s="95"/>
      <c r="D8" s="70"/>
      <c r="E8" s="91"/>
      <c r="F8" s="94" t="b">
        <v>0</v>
      </c>
      <c r="G8" s="69"/>
      <c r="H8" s="93"/>
    </row>
    <row r="9">
      <c r="A9" s="89"/>
      <c r="B9" s="69"/>
      <c r="C9" s="95"/>
      <c r="D9" s="70"/>
      <c r="E9" s="91"/>
      <c r="F9" s="96" t="b">
        <v>0</v>
      </c>
      <c r="G9" s="69"/>
      <c r="H9" s="93"/>
    </row>
    <row r="10">
      <c r="A10" s="89"/>
      <c r="B10" s="69"/>
      <c r="C10" s="95"/>
      <c r="D10" s="70"/>
      <c r="E10" s="91"/>
      <c r="F10" s="96" t="b">
        <v>0</v>
      </c>
      <c r="G10" s="69"/>
      <c r="H10" s="93"/>
    </row>
    <row r="11">
      <c r="A11" s="89"/>
      <c r="B11" s="69"/>
      <c r="C11" s="95"/>
      <c r="D11" s="70"/>
      <c r="E11" s="91"/>
      <c r="F11" s="96" t="b">
        <v>0</v>
      </c>
      <c r="G11" s="69"/>
      <c r="H11" s="93"/>
    </row>
    <row r="12">
      <c r="A12" s="89"/>
      <c r="B12" s="69"/>
      <c r="C12" s="95"/>
      <c r="D12" s="70"/>
      <c r="E12" s="91"/>
      <c r="F12" s="96" t="b">
        <v>0</v>
      </c>
      <c r="G12" s="69"/>
      <c r="H12" s="93"/>
    </row>
    <row r="13">
      <c r="A13" s="89"/>
      <c r="B13" s="69"/>
      <c r="C13" s="95"/>
      <c r="D13" s="70"/>
      <c r="E13" s="91"/>
      <c r="F13" s="96" t="b">
        <v>0</v>
      </c>
      <c r="G13" s="69"/>
      <c r="H13" s="93"/>
    </row>
    <row r="14">
      <c r="A14" s="89"/>
      <c r="B14" s="69"/>
      <c r="C14" s="95"/>
      <c r="D14" s="70"/>
      <c r="E14" s="91"/>
      <c r="F14" s="96" t="b">
        <v>0</v>
      </c>
      <c r="G14" s="69"/>
      <c r="H14" s="93"/>
    </row>
    <row r="15">
      <c r="A15" s="89"/>
      <c r="B15" s="69"/>
      <c r="C15" s="95"/>
      <c r="D15" s="70"/>
      <c r="E15" s="91"/>
      <c r="F15" s="96" t="b">
        <v>0</v>
      </c>
      <c r="G15" s="69"/>
      <c r="H15" s="93"/>
    </row>
    <row r="16">
      <c r="A16" s="89"/>
      <c r="B16" s="69"/>
      <c r="C16" s="95"/>
      <c r="D16" s="70"/>
      <c r="E16" s="91"/>
      <c r="F16" s="92" t="b">
        <v>0</v>
      </c>
      <c r="G16" s="69"/>
      <c r="H16" s="93"/>
    </row>
    <row r="17">
      <c r="A17" s="89"/>
      <c r="B17" s="69"/>
      <c r="C17" s="95"/>
      <c r="D17" s="70"/>
      <c r="E17" s="91"/>
      <c r="F17" s="92" t="b">
        <v>0</v>
      </c>
      <c r="G17" s="69"/>
      <c r="H17" s="93"/>
    </row>
    <row r="18">
      <c r="A18" s="89"/>
      <c r="B18" s="69"/>
      <c r="C18" s="95"/>
      <c r="D18" s="70"/>
      <c r="E18" s="91"/>
      <c r="F18" s="92" t="b">
        <v>0</v>
      </c>
      <c r="G18" s="69"/>
      <c r="H18" s="93"/>
    </row>
    <row r="19">
      <c r="A19" s="89"/>
      <c r="B19" s="69"/>
      <c r="C19" s="95"/>
      <c r="D19" s="70"/>
      <c r="E19" s="91"/>
      <c r="F19" s="92" t="b">
        <v>0</v>
      </c>
      <c r="G19" s="69"/>
      <c r="H19" s="93"/>
    </row>
    <row r="20">
      <c r="A20" s="89"/>
      <c r="B20" s="69"/>
      <c r="C20" s="95"/>
      <c r="D20" s="70"/>
      <c r="E20" s="91"/>
      <c r="F20" s="92" t="b">
        <v>0</v>
      </c>
      <c r="G20" s="69"/>
      <c r="H20" s="93"/>
    </row>
    <row r="21">
      <c r="A21" s="97"/>
      <c r="B21" s="98"/>
      <c r="C21" s="99"/>
      <c r="D21" s="100"/>
      <c r="E21" s="101"/>
      <c r="F21" s="102"/>
      <c r="G21" s="103"/>
      <c r="H21" s="104"/>
    </row>
    <row r="22">
      <c r="A22" s="97"/>
      <c r="B22" s="98"/>
      <c r="C22" s="99"/>
      <c r="D22" s="100"/>
      <c r="E22" s="101"/>
      <c r="F22" s="102"/>
      <c r="G22" s="103"/>
      <c r="H22" s="104"/>
    </row>
    <row r="23">
      <c r="A23" s="97"/>
      <c r="B23" s="105"/>
      <c r="C23" s="99"/>
      <c r="D23" s="100"/>
      <c r="E23" s="101"/>
      <c r="F23" s="102"/>
      <c r="G23" s="103"/>
      <c r="H23" s="104"/>
    </row>
    <row r="24">
      <c r="A24" s="97"/>
      <c r="B24" s="105"/>
      <c r="C24" s="99"/>
      <c r="D24" s="100"/>
      <c r="E24" s="101"/>
      <c r="F24" s="102"/>
      <c r="G24" s="103"/>
      <c r="H24" s="104"/>
    </row>
    <row r="25">
      <c r="A25" s="97"/>
      <c r="B25" s="106"/>
      <c r="C25" s="107"/>
      <c r="D25" s="108"/>
      <c r="E25" s="109"/>
      <c r="F25" s="110"/>
      <c r="G25" s="111"/>
      <c r="H25" s="104"/>
    </row>
    <row r="26">
      <c r="A26" s="112"/>
      <c r="B26" s="113"/>
      <c r="C26" s="114"/>
      <c r="D26" s="115"/>
      <c r="E26" s="109"/>
      <c r="F26" s="116"/>
      <c r="G26" s="117"/>
      <c r="H26" s="118"/>
    </row>
    <row r="27">
      <c r="A27" s="109"/>
      <c r="B27" s="119"/>
      <c r="C27" s="114"/>
      <c r="D27" s="115"/>
      <c r="E27" s="109"/>
      <c r="F27" s="116"/>
      <c r="G27" s="120"/>
      <c r="H27" s="121"/>
    </row>
    <row r="28">
      <c r="A28" s="109"/>
      <c r="B28" s="119"/>
      <c r="C28" s="114"/>
      <c r="D28" s="115"/>
      <c r="E28" s="109"/>
      <c r="F28" s="116"/>
      <c r="G28" s="120"/>
      <c r="H28" s="121"/>
    </row>
    <row r="29">
      <c r="A29" s="109"/>
      <c r="B29" s="119"/>
      <c r="C29" s="114"/>
      <c r="D29" s="115"/>
      <c r="E29" s="109"/>
      <c r="F29" s="116"/>
      <c r="G29" s="120"/>
      <c r="H29" s="121"/>
    </row>
    <row r="30">
      <c r="A30" s="109"/>
      <c r="B30" s="119"/>
      <c r="C30" s="114"/>
      <c r="D30" s="115"/>
      <c r="E30" s="109"/>
      <c r="F30" s="116"/>
      <c r="G30" s="120"/>
      <c r="H30" s="121"/>
    </row>
    <row r="31">
      <c r="A31" s="109"/>
      <c r="B31" s="119"/>
      <c r="C31" s="114"/>
      <c r="D31" s="115"/>
      <c r="E31" s="109"/>
      <c r="F31" s="116"/>
      <c r="G31" s="120"/>
      <c r="H31" s="121"/>
    </row>
    <row r="32">
      <c r="A32" s="109"/>
      <c r="B32" s="119"/>
      <c r="C32" s="114"/>
      <c r="D32" s="115"/>
      <c r="E32" s="109"/>
      <c r="F32" s="116"/>
      <c r="G32" s="120"/>
      <c r="H32" s="121"/>
    </row>
    <row r="33">
      <c r="A33" s="109"/>
      <c r="B33" s="119"/>
      <c r="C33" s="114"/>
      <c r="D33" s="115"/>
      <c r="E33" s="109"/>
      <c r="F33" s="116"/>
      <c r="G33" s="120"/>
      <c r="H33" s="121"/>
    </row>
    <row r="34">
      <c r="A34" s="109"/>
      <c r="B34" s="119"/>
      <c r="C34" s="114"/>
      <c r="D34" s="115"/>
      <c r="E34" s="109"/>
      <c r="F34" s="116"/>
      <c r="G34" s="120"/>
      <c r="H34" s="121"/>
    </row>
    <row r="35">
      <c r="A35" s="109"/>
      <c r="B35" s="119"/>
      <c r="C35" s="114"/>
      <c r="D35" s="115"/>
      <c r="E35" s="109"/>
      <c r="F35" s="116"/>
      <c r="G35" s="120"/>
      <c r="H35" s="121"/>
    </row>
    <row r="36">
      <c r="A36" s="109"/>
      <c r="B36" s="119"/>
      <c r="C36" s="114"/>
      <c r="D36" s="115"/>
      <c r="E36" s="109"/>
      <c r="F36" s="116"/>
      <c r="G36" s="120"/>
      <c r="H36" s="121"/>
    </row>
    <row r="37">
      <c r="A37" s="109"/>
      <c r="B37" s="119"/>
      <c r="C37" s="114"/>
      <c r="D37" s="115"/>
      <c r="E37" s="109"/>
      <c r="F37" s="116"/>
      <c r="G37" s="120"/>
      <c r="H37" s="121"/>
    </row>
    <row r="38">
      <c r="A38" s="109"/>
      <c r="B38" s="119"/>
      <c r="C38" s="114"/>
      <c r="D38" s="115"/>
      <c r="E38" s="109"/>
      <c r="F38" s="116"/>
      <c r="G38" s="120"/>
      <c r="H38" s="121"/>
    </row>
    <row r="39">
      <c r="A39" s="109"/>
      <c r="B39" s="119"/>
      <c r="C39" s="114"/>
      <c r="D39" s="115"/>
      <c r="E39" s="109"/>
      <c r="F39" s="116"/>
      <c r="G39" s="120"/>
      <c r="H39" s="121"/>
    </row>
    <row r="40">
      <c r="A40" s="109"/>
      <c r="B40" s="119"/>
      <c r="C40" s="114"/>
      <c r="D40" s="115"/>
      <c r="E40" s="109"/>
      <c r="F40" s="116"/>
      <c r="G40" s="120"/>
      <c r="H40" s="121"/>
    </row>
    <row r="41">
      <c r="A41" s="109"/>
      <c r="B41" s="119"/>
      <c r="C41" s="114"/>
      <c r="D41" s="115"/>
      <c r="E41" s="109"/>
      <c r="F41" s="116"/>
      <c r="G41" s="120"/>
      <c r="H41" s="121"/>
    </row>
    <row r="42">
      <c r="A42" s="109"/>
      <c r="B42" s="119"/>
      <c r="C42" s="114"/>
      <c r="D42" s="115"/>
      <c r="E42" s="109"/>
      <c r="F42" s="116"/>
      <c r="G42" s="120"/>
      <c r="H42" s="121"/>
    </row>
    <row r="43">
      <c r="A43" s="109"/>
      <c r="B43" s="119"/>
      <c r="C43" s="114"/>
      <c r="D43" s="115"/>
      <c r="E43" s="109"/>
      <c r="F43" s="116"/>
      <c r="G43" s="120"/>
      <c r="H43" s="121"/>
    </row>
    <row r="44">
      <c r="A44" s="109"/>
      <c r="B44" s="119"/>
      <c r="C44" s="114"/>
      <c r="D44" s="115"/>
      <c r="E44" s="109"/>
      <c r="F44" s="116"/>
      <c r="G44" s="120"/>
      <c r="H44" s="121"/>
    </row>
    <row r="45">
      <c r="A45" s="109"/>
      <c r="B45" s="119"/>
      <c r="C45" s="114"/>
      <c r="D45" s="115"/>
      <c r="E45" s="109"/>
      <c r="F45" s="116"/>
      <c r="G45" s="120"/>
      <c r="H45" s="121"/>
    </row>
    <row r="46">
      <c r="A46" s="109"/>
      <c r="B46" s="119"/>
      <c r="C46" s="114"/>
      <c r="D46" s="115"/>
      <c r="E46" s="109"/>
      <c r="F46" s="116"/>
      <c r="G46" s="120"/>
      <c r="H46" s="121"/>
    </row>
    <row r="47">
      <c r="A47" s="109"/>
      <c r="B47" s="119"/>
      <c r="C47" s="114"/>
      <c r="D47" s="115"/>
      <c r="E47" s="109"/>
      <c r="F47" s="116"/>
      <c r="G47" s="120"/>
      <c r="H47" s="121"/>
    </row>
    <row r="48">
      <c r="A48" s="109"/>
      <c r="B48" s="119"/>
      <c r="C48" s="114"/>
      <c r="D48" s="115"/>
      <c r="E48" s="109"/>
      <c r="F48" s="116"/>
      <c r="G48" s="120"/>
      <c r="H48" s="121"/>
    </row>
    <row r="49">
      <c r="A49" s="109"/>
      <c r="B49" s="119"/>
      <c r="C49" s="114"/>
      <c r="D49" s="115"/>
      <c r="E49" s="109"/>
      <c r="F49" s="116"/>
      <c r="G49" s="120"/>
      <c r="H49" s="121"/>
    </row>
    <row r="50">
      <c r="A50" s="109"/>
      <c r="B50" s="119"/>
      <c r="C50" s="114"/>
      <c r="D50" s="115"/>
      <c r="E50" s="109"/>
      <c r="F50" s="116"/>
      <c r="G50" s="120"/>
      <c r="H50" s="121"/>
    </row>
    <row r="51">
      <c r="A51" s="109"/>
      <c r="B51" s="119"/>
      <c r="C51" s="114"/>
      <c r="D51" s="115"/>
      <c r="E51" s="109"/>
      <c r="F51" s="116"/>
      <c r="G51" s="120"/>
      <c r="H51" s="121"/>
    </row>
    <row r="52">
      <c r="A52" s="109"/>
      <c r="B52" s="119"/>
      <c r="C52" s="114"/>
      <c r="D52" s="115"/>
      <c r="E52" s="109"/>
      <c r="F52" s="116"/>
      <c r="G52" s="120"/>
      <c r="H52" s="121"/>
    </row>
    <row r="53">
      <c r="A53" s="109"/>
      <c r="B53" s="119"/>
      <c r="C53" s="114"/>
      <c r="D53" s="115"/>
      <c r="E53" s="109"/>
      <c r="F53" s="116"/>
      <c r="G53" s="120"/>
      <c r="H53" s="121"/>
    </row>
    <row r="54">
      <c r="A54" s="109"/>
      <c r="B54" s="119"/>
      <c r="C54" s="114"/>
      <c r="D54" s="115"/>
      <c r="E54" s="109"/>
      <c r="F54" s="116"/>
      <c r="G54" s="120"/>
      <c r="H54" s="121"/>
    </row>
    <row r="55">
      <c r="A55" s="109"/>
      <c r="B55" s="119"/>
      <c r="C55" s="114"/>
      <c r="D55" s="115"/>
      <c r="E55" s="109"/>
      <c r="F55" s="116"/>
      <c r="G55" s="120"/>
      <c r="H55" s="121"/>
    </row>
    <row r="56">
      <c r="A56" s="109"/>
      <c r="B56" s="119"/>
      <c r="C56" s="114"/>
      <c r="D56" s="115"/>
      <c r="E56" s="109"/>
      <c r="F56" s="116"/>
      <c r="G56" s="120"/>
      <c r="H56" s="121"/>
    </row>
    <row r="57">
      <c r="A57" s="109"/>
      <c r="B57" s="119"/>
      <c r="C57" s="114"/>
      <c r="D57" s="115"/>
      <c r="E57" s="109"/>
      <c r="F57" s="116"/>
      <c r="G57" s="120"/>
      <c r="H57" s="121"/>
    </row>
    <row r="58">
      <c r="A58" s="109"/>
      <c r="B58" s="119"/>
      <c r="C58" s="114"/>
      <c r="D58" s="115"/>
      <c r="E58" s="109"/>
      <c r="F58" s="116"/>
      <c r="G58" s="120"/>
      <c r="H58" s="121"/>
    </row>
    <row r="59">
      <c r="A59" s="109"/>
      <c r="B59" s="119"/>
      <c r="C59" s="114"/>
      <c r="D59" s="115"/>
      <c r="E59" s="109"/>
      <c r="F59" s="116"/>
      <c r="G59" s="120"/>
      <c r="H59" s="121"/>
    </row>
    <row r="60">
      <c r="A60" s="109"/>
      <c r="B60" s="119"/>
      <c r="C60" s="114"/>
      <c r="D60" s="115"/>
      <c r="E60" s="109"/>
      <c r="F60" s="116"/>
      <c r="G60" s="120"/>
      <c r="H60" s="121"/>
    </row>
  </sheetData>
  <autoFilter ref="$A$1:$H$20">
    <sortState ref="A1:H20">
      <sortCondition ref="A1:A20"/>
    </sortState>
  </autoFilter>
  <customSheetViews>
    <customSheetView guid="{DF2F70C7-8866-48E0-951D-0637A9BFC8E6}" filter="1" showAutoFilter="1">
      <autoFilter ref="$A$1:$H$20"/>
    </customSheetView>
    <customSheetView guid="{EFFCC731-4C38-4EFC-9B3F-E71CC35B304D}" filter="1" showAutoFilter="1">
      <autoFilter ref="$A$1:$H$20"/>
    </customSheetView>
    <customSheetView guid="{E45215E9-CFD8-4C81-8218-503541622618}" filter="1" showAutoFilter="1">
      <autoFilter ref="$A$1:$H$20"/>
    </customSheetView>
  </customSheetViews>
  <dataValidations>
    <dataValidation type="list" allowBlank="1" showErrorMessage="1" sqref="E2:E20">
      <formula1>Configuraciones!$B$3:$B$4</formula1>
    </dataValidation>
    <dataValidation type="list" allowBlank="1" showErrorMessage="1" sqref="A2:A20">
      <formula1>'Test Case'!$A$4:$A$20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63"/>
    <col customWidth="1" min="2" max="2" width="39.63"/>
    <col customWidth="1" min="3" max="3" width="68.5"/>
    <col customWidth="1" min="4" max="4" width="17.13"/>
    <col customWidth="1" min="5" max="5" width="16.63"/>
    <col customWidth="1" min="6" max="6" width="14.5"/>
    <col customWidth="1" min="7" max="7" width="22.13"/>
    <col customWidth="1" min="8" max="8" width="18.63"/>
    <col customWidth="1" min="9" max="9" width="58.0"/>
    <col customWidth="1" min="10" max="10" width="39.5"/>
    <col customWidth="1" min="11" max="11" width="14.0"/>
    <col customWidth="1" min="12" max="12" width="16.63"/>
    <col customWidth="1" min="13" max="13" width="18.0"/>
    <col customWidth="1" min="14" max="14" width="18.63"/>
    <col customWidth="1" min="15" max="15" width="20.75"/>
    <col customWidth="1" min="16" max="16" width="22.88"/>
    <col customWidth="1" min="17" max="17" width="68.5"/>
    <col customWidth="1" hidden="1" min="18" max="38" width="68.5"/>
  </cols>
  <sheetData>
    <row r="1" ht="36.75" customHeight="1">
      <c r="A1" s="122" t="s">
        <v>109</v>
      </c>
      <c r="B1" s="123" t="s">
        <v>110</v>
      </c>
      <c r="C1" s="124" t="s">
        <v>104</v>
      </c>
      <c r="D1" s="122" t="s">
        <v>111</v>
      </c>
      <c r="E1" s="122" t="s">
        <v>112</v>
      </c>
      <c r="F1" s="123" t="s">
        <v>106</v>
      </c>
      <c r="G1" s="122" t="s">
        <v>113</v>
      </c>
      <c r="H1" s="123" t="s">
        <v>114</v>
      </c>
      <c r="I1" s="123" t="s">
        <v>115</v>
      </c>
      <c r="J1" s="123" t="s">
        <v>116</v>
      </c>
      <c r="K1" s="125" t="s">
        <v>117</v>
      </c>
      <c r="L1" s="126" t="s">
        <v>118</v>
      </c>
      <c r="M1" s="123" t="s">
        <v>119</v>
      </c>
      <c r="N1" s="127" t="s">
        <v>120</v>
      </c>
      <c r="O1" s="128" t="s">
        <v>121</v>
      </c>
      <c r="P1" s="127" t="s">
        <v>122</v>
      </c>
      <c r="Q1" s="128" t="s">
        <v>123</v>
      </c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>
      <c r="A2" s="130"/>
      <c r="B2" s="130"/>
      <c r="C2" s="131"/>
      <c r="D2" s="132"/>
      <c r="E2" s="130"/>
      <c r="F2" s="130"/>
      <c r="G2" s="130"/>
      <c r="H2" s="130"/>
      <c r="I2" s="130"/>
      <c r="J2" s="133"/>
      <c r="K2" s="134"/>
      <c r="L2" s="135"/>
      <c r="M2" s="132"/>
      <c r="N2" s="136"/>
      <c r="O2" s="132"/>
      <c r="P2" s="137"/>
      <c r="Q2" s="137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</row>
    <row r="3">
      <c r="A3" s="130"/>
      <c r="B3" s="130"/>
      <c r="C3" s="131"/>
      <c r="D3" s="132"/>
      <c r="E3" s="130"/>
      <c r="F3" s="130"/>
      <c r="G3" s="130"/>
      <c r="H3" s="130"/>
      <c r="I3" s="130"/>
      <c r="J3" s="133"/>
      <c r="K3" s="134"/>
      <c r="L3" s="135"/>
      <c r="M3" s="132"/>
      <c r="N3" s="136"/>
      <c r="O3" s="132"/>
      <c r="P3" s="137"/>
      <c r="Q3" s="137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</row>
    <row r="4">
      <c r="A4" s="130"/>
      <c r="B4" s="130"/>
      <c r="C4" s="131"/>
      <c r="D4" s="132"/>
      <c r="E4" s="130"/>
      <c r="F4" s="130"/>
      <c r="G4" s="130"/>
      <c r="H4" s="130"/>
      <c r="I4" s="130"/>
      <c r="J4" s="139"/>
      <c r="K4" s="134"/>
      <c r="L4" s="135"/>
      <c r="M4" s="132"/>
      <c r="N4" s="140"/>
      <c r="O4" s="132"/>
      <c r="P4" s="141"/>
      <c r="Q4" s="141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</row>
    <row r="5">
      <c r="A5" s="130"/>
      <c r="B5" s="130"/>
      <c r="C5" s="131"/>
      <c r="D5" s="132"/>
      <c r="E5" s="130"/>
      <c r="F5" s="130"/>
      <c r="G5" s="130"/>
      <c r="H5" s="130"/>
      <c r="I5" s="130"/>
      <c r="J5" s="142"/>
      <c r="K5" s="134"/>
      <c r="L5" s="135"/>
      <c r="M5" s="132"/>
      <c r="N5" s="140"/>
      <c r="O5" s="132"/>
      <c r="P5" s="143"/>
      <c r="Q5" s="143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</row>
    <row r="6">
      <c r="A6" s="130"/>
      <c r="B6" s="130"/>
      <c r="C6" s="131"/>
      <c r="D6" s="132"/>
      <c r="E6" s="130"/>
      <c r="F6" s="130"/>
      <c r="G6" s="130"/>
      <c r="H6" s="130"/>
      <c r="I6" s="145"/>
      <c r="J6" s="146"/>
      <c r="K6" s="134"/>
      <c r="L6" s="135"/>
      <c r="M6" s="132"/>
      <c r="N6" s="140"/>
      <c r="O6" s="132"/>
      <c r="P6" s="141"/>
      <c r="Q6" s="141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</row>
    <row r="7">
      <c r="A7" s="130"/>
      <c r="B7" s="130"/>
      <c r="C7" s="131"/>
      <c r="D7" s="132"/>
      <c r="E7" s="130"/>
      <c r="F7" s="130"/>
      <c r="G7" s="130"/>
      <c r="H7" s="130"/>
      <c r="I7" s="130"/>
      <c r="J7" s="147"/>
      <c r="K7" s="134"/>
      <c r="L7" s="134"/>
      <c r="M7" s="132"/>
      <c r="N7" s="140"/>
      <c r="O7" s="132"/>
      <c r="P7" s="141"/>
      <c r="Q7" s="141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</row>
    <row r="8">
      <c r="A8" s="130"/>
      <c r="B8" s="130"/>
      <c r="C8" s="131"/>
      <c r="D8" s="132"/>
      <c r="E8" s="130"/>
      <c r="F8" s="130"/>
      <c r="G8" s="130"/>
      <c r="H8" s="130"/>
      <c r="I8" s="130"/>
      <c r="J8" s="147"/>
      <c r="K8" s="134"/>
      <c r="L8" s="135"/>
      <c r="M8" s="132"/>
      <c r="N8" s="140"/>
      <c r="O8" s="132"/>
      <c r="P8" s="141"/>
      <c r="Q8" s="141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</row>
    <row r="9">
      <c r="A9" s="130"/>
      <c r="B9" s="130"/>
      <c r="C9" s="131"/>
      <c r="D9" s="132"/>
      <c r="E9" s="130"/>
      <c r="F9" s="130"/>
      <c r="G9" s="130"/>
      <c r="H9" s="130"/>
      <c r="I9" s="130"/>
      <c r="J9" s="147"/>
      <c r="K9" s="134"/>
      <c r="L9" s="135"/>
      <c r="M9" s="132"/>
      <c r="N9" s="140"/>
      <c r="O9" s="132"/>
      <c r="P9" s="148"/>
      <c r="Q9" s="14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</row>
    <row r="10">
      <c r="A10" s="130"/>
      <c r="B10" s="130"/>
      <c r="C10" s="131"/>
      <c r="D10" s="132"/>
      <c r="E10" s="130"/>
      <c r="F10" s="130"/>
      <c r="G10" s="130"/>
      <c r="H10" s="130"/>
      <c r="I10" s="130"/>
      <c r="J10" s="147"/>
      <c r="K10" s="134"/>
      <c r="L10" s="135"/>
      <c r="M10" s="132"/>
      <c r="N10" s="140"/>
      <c r="O10" s="132"/>
      <c r="P10" s="141"/>
      <c r="Q10" s="141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</row>
    <row r="11">
      <c r="A11" s="130"/>
      <c r="B11" s="130"/>
      <c r="C11" s="131"/>
      <c r="D11" s="132"/>
      <c r="E11" s="130"/>
      <c r="F11" s="130"/>
      <c r="G11" s="130"/>
      <c r="H11" s="130"/>
      <c r="I11" s="130"/>
      <c r="J11" s="147"/>
      <c r="K11" s="134"/>
      <c r="L11" s="135"/>
      <c r="M11" s="132"/>
      <c r="N11" s="140"/>
      <c r="O11" s="132"/>
      <c r="P11" s="141"/>
      <c r="Q11" s="141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</row>
    <row r="12">
      <c r="A12" s="130"/>
      <c r="B12" s="130"/>
      <c r="C12" s="131"/>
      <c r="D12" s="132"/>
      <c r="E12" s="130"/>
      <c r="F12" s="130"/>
      <c r="G12" s="130"/>
      <c r="H12" s="130"/>
      <c r="I12" s="130"/>
      <c r="J12" s="147"/>
      <c r="K12" s="134"/>
      <c r="L12" s="135"/>
      <c r="M12" s="132"/>
      <c r="N12" s="140"/>
      <c r="O12" s="132"/>
      <c r="P12" s="141"/>
      <c r="Q12" s="141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</row>
    <row r="13">
      <c r="A13" s="130"/>
      <c r="B13" s="130"/>
      <c r="C13" s="131"/>
      <c r="D13" s="132"/>
      <c r="E13" s="130"/>
      <c r="F13" s="130"/>
      <c r="G13" s="130"/>
      <c r="H13" s="130"/>
      <c r="I13" s="130"/>
      <c r="J13" s="147"/>
      <c r="K13" s="134"/>
      <c r="L13" s="135"/>
      <c r="M13" s="132"/>
      <c r="N13" s="140"/>
      <c r="O13" s="132"/>
      <c r="P13" s="141"/>
      <c r="Q13" s="141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</row>
    <row r="14">
      <c r="A14" s="130"/>
      <c r="B14" s="130"/>
      <c r="C14" s="131"/>
      <c r="D14" s="132"/>
      <c r="E14" s="130"/>
      <c r="F14" s="130"/>
      <c r="G14" s="130"/>
      <c r="H14" s="130"/>
      <c r="I14" s="130"/>
      <c r="J14" s="147"/>
      <c r="K14" s="134"/>
      <c r="L14" s="134"/>
      <c r="M14" s="132"/>
      <c r="N14" s="140"/>
      <c r="O14" s="132"/>
      <c r="P14" s="150"/>
      <c r="Q14" s="150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</row>
    <row r="15">
      <c r="A15" s="130"/>
      <c r="B15" s="130"/>
      <c r="C15" s="131"/>
      <c r="D15" s="132"/>
      <c r="E15" s="130"/>
      <c r="F15" s="130"/>
      <c r="G15" s="130"/>
      <c r="H15" s="130"/>
      <c r="I15" s="130"/>
      <c r="J15" s="147"/>
      <c r="K15" s="134"/>
      <c r="L15" s="135"/>
      <c r="M15" s="132"/>
      <c r="N15" s="140"/>
      <c r="O15" s="132"/>
      <c r="P15" s="141"/>
      <c r="Q15" s="141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</row>
    <row r="16">
      <c r="A16" s="130"/>
      <c r="B16" s="130"/>
      <c r="C16" s="131"/>
      <c r="D16" s="132"/>
      <c r="E16" s="130"/>
      <c r="F16" s="130"/>
      <c r="G16" s="130"/>
      <c r="H16" s="130"/>
      <c r="I16" s="130"/>
      <c r="J16" s="147"/>
      <c r="K16" s="134"/>
      <c r="L16" s="134"/>
      <c r="M16" s="132"/>
      <c r="N16" s="140"/>
      <c r="O16" s="132"/>
      <c r="P16" s="141"/>
      <c r="Q16" s="141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</row>
    <row r="17">
      <c r="A17" s="130"/>
      <c r="B17" s="130"/>
      <c r="C17" s="131"/>
      <c r="D17" s="132"/>
      <c r="E17" s="130"/>
      <c r="F17" s="130"/>
      <c r="G17" s="130"/>
      <c r="H17" s="130"/>
      <c r="I17" s="130"/>
      <c r="J17" s="147"/>
      <c r="K17" s="134"/>
      <c r="L17" s="134"/>
      <c r="M17" s="132"/>
      <c r="N17" s="140"/>
      <c r="O17" s="132"/>
      <c r="P17" s="143"/>
      <c r="Q17" s="143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</row>
    <row r="18">
      <c r="A18" s="130"/>
      <c r="B18" s="130"/>
      <c r="C18" s="131"/>
      <c r="D18" s="132"/>
      <c r="E18" s="130"/>
      <c r="F18" s="130"/>
      <c r="G18" s="130"/>
      <c r="H18" s="130"/>
      <c r="I18" s="130"/>
      <c r="J18" s="147"/>
      <c r="K18" s="134"/>
      <c r="L18" s="151"/>
      <c r="M18" s="132"/>
      <c r="N18" s="140"/>
      <c r="O18" s="132"/>
      <c r="P18" s="143"/>
      <c r="Q18" s="143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</row>
    <row r="19">
      <c r="A19" s="130"/>
      <c r="B19" s="130"/>
      <c r="C19" s="131"/>
      <c r="D19" s="132"/>
      <c r="E19" s="130"/>
      <c r="F19" s="130"/>
      <c r="G19" s="130"/>
      <c r="H19" s="130"/>
      <c r="I19" s="130"/>
      <c r="J19" s="147"/>
      <c r="K19" s="134"/>
      <c r="L19" s="134"/>
      <c r="M19" s="132"/>
      <c r="N19" s="140"/>
      <c r="O19" s="132"/>
      <c r="P19" s="143"/>
      <c r="Q19" s="143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</row>
    <row r="20">
      <c r="A20" s="130"/>
      <c r="B20" s="130"/>
      <c r="C20" s="131"/>
      <c r="D20" s="132"/>
      <c r="E20" s="130"/>
      <c r="F20" s="130"/>
      <c r="G20" s="130"/>
      <c r="H20" s="130"/>
      <c r="I20" s="130"/>
      <c r="J20" s="147"/>
      <c r="K20" s="134"/>
      <c r="L20" s="134"/>
      <c r="M20" s="132"/>
      <c r="N20" s="140"/>
      <c r="O20" s="132"/>
      <c r="P20" s="143"/>
      <c r="Q20" s="143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</row>
    <row r="21">
      <c r="A21" s="130"/>
      <c r="B21" s="130"/>
      <c r="C21" s="131"/>
      <c r="D21" s="132"/>
      <c r="E21" s="130"/>
      <c r="F21" s="130"/>
      <c r="G21" s="130"/>
      <c r="H21" s="130"/>
      <c r="I21" s="152"/>
      <c r="J21" s="147"/>
      <c r="K21" s="134"/>
      <c r="L21" s="134"/>
      <c r="M21" s="132"/>
      <c r="N21" s="140"/>
      <c r="O21" s="132"/>
      <c r="P21" s="143"/>
      <c r="Q21" s="143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</row>
    <row r="22">
      <c r="A22" s="130"/>
      <c r="B22" s="130"/>
      <c r="C22" s="131"/>
      <c r="D22" s="132"/>
      <c r="E22" s="130"/>
      <c r="F22" s="130"/>
      <c r="G22" s="130"/>
      <c r="H22" s="130"/>
      <c r="I22" s="130"/>
      <c r="J22" s="153"/>
      <c r="K22" s="134"/>
      <c r="L22" s="135"/>
      <c r="M22" s="132"/>
      <c r="N22" s="140"/>
      <c r="O22" s="132"/>
      <c r="P22" s="143"/>
      <c r="Q22" s="143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</row>
    <row r="23">
      <c r="A23" s="130"/>
      <c r="B23" s="130"/>
      <c r="C23" s="131"/>
      <c r="D23" s="132"/>
      <c r="E23" s="130"/>
      <c r="F23" s="130"/>
      <c r="G23" s="130"/>
      <c r="H23" s="130"/>
      <c r="I23" s="148"/>
      <c r="J23" s="154"/>
      <c r="K23" s="134"/>
      <c r="L23" s="134"/>
      <c r="M23" s="132"/>
      <c r="N23" s="140"/>
      <c r="O23" s="132"/>
      <c r="P23" s="143"/>
      <c r="Q23" s="143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</row>
    <row r="24">
      <c r="A24" s="130"/>
      <c r="B24" s="130"/>
      <c r="C24" s="131"/>
      <c r="D24" s="132"/>
      <c r="E24" s="130"/>
      <c r="F24" s="130"/>
      <c r="G24" s="130"/>
      <c r="H24" s="130"/>
      <c r="I24" s="130"/>
      <c r="J24" s="147"/>
      <c r="K24" s="134"/>
      <c r="L24" s="134"/>
      <c r="M24" s="132"/>
      <c r="N24" s="140"/>
      <c r="O24" s="132"/>
      <c r="P24" s="141"/>
      <c r="Q24" s="141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</row>
    <row r="25">
      <c r="A25" s="130"/>
      <c r="B25" s="130"/>
      <c r="C25" s="131"/>
      <c r="D25" s="132"/>
      <c r="E25" s="130"/>
      <c r="F25" s="130"/>
      <c r="G25" s="130"/>
      <c r="H25" s="130"/>
      <c r="I25" s="152"/>
      <c r="J25" s="147"/>
      <c r="K25" s="134"/>
      <c r="L25" s="134"/>
      <c r="M25" s="132"/>
      <c r="N25" s="140"/>
      <c r="O25" s="132"/>
      <c r="P25" s="141"/>
      <c r="Q25" s="141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</row>
    <row r="26">
      <c r="A26" s="130"/>
      <c r="B26" s="130"/>
      <c r="C26" s="131"/>
      <c r="D26" s="132"/>
      <c r="E26" s="130"/>
      <c r="F26" s="130"/>
      <c r="G26" s="130"/>
      <c r="H26" s="130"/>
      <c r="I26" s="130"/>
      <c r="J26" s="147"/>
      <c r="K26" s="134"/>
      <c r="L26" s="135"/>
      <c r="M26" s="132"/>
      <c r="N26" s="140"/>
      <c r="O26" s="132"/>
      <c r="P26" s="141"/>
      <c r="Q26" s="141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</row>
    <row r="27">
      <c r="A27" s="130"/>
      <c r="B27" s="130"/>
      <c r="C27" s="131"/>
      <c r="D27" s="132"/>
      <c r="E27" s="130"/>
      <c r="F27" s="130"/>
      <c r="G27" s="130"/>
      <c r="H27" s="130"/>
      <c r="I27" s="130"/>
      <c r="J27" s="147"/>
      <c r="K27" s="135"/>
      <c r="L27" s="135"/>
      <c r="M27" s="132"/>
      <c r="N27" s="140"/>
      <c r="O27" s="132"/>
      <c r="P27" s="141"/>
      <c r="Q27" s="141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</row>
    <row r="28">
      <c r="A28" s="130"/>
      <c r="B28" s="130"/>
      <c r="C28" s="131"/>
      <c r="D28" s="132"/>
      <c r="E28" s="130"/>
      <c r="F28" s="130"/>
      <c r="G28" s="130"/>
      <c r="H28" s="130"/>
      <c r="I28" s="130"/>
      <c r="J28" s="139"/>
      <c r="K28" s="135"/>
      <c r="L28" s="135"/>
      <c r="M28" s="132"/>
      <c r="N28" s="140"/>
      <c r="O28" s="132"/>
      <c r="P28" s="143"/>
      <c r="Q28" s="143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</row>
    <row r="29">
      <c r="A29" s="130"/>
      <c r="B29" s="130"/>
      <c r="C29" s="131"/>
      <c r="D29" s="132"/>
      <c r="E29" s="130"/>
      <c r="F29" s="130"/>
      <c r="G29" s="130"/>
      <c r="H29" s="130"/>
      <c r="I29" s="130"/>
      <c r="J29" s="147"/>
      <c r="K29" s="135"/>
      <c r="L29" s="135"/>
      <c r="M29" s="132"/>
      <c r="N29" s="140"/>
      <c r="O29" s="132"/>
      <c r="P29" s="143"/>
      <c r="Q29" s="143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</row>
    <row r="30">
      <c r="A30" s="130"/>
      <c r="B30" s="130"/>
      <c r="C30" s="131"/>
      <c r="D30" s="132"/>
      <c r="E30" s="130"/>
      <c r="F30" s="130"/>
      <c r="G30" s="130"/>
      <c r="H30" s="130"/>
      <c r="I30" s="130"/>
      <c r="J30" s="147"/>
      <c r="K30" s="135"/>
      <c r="L30" s="134"/>
      <c r="M30" s="132"/>
      <c r="N30" s="140"/>
      <c r="O30" s="132"/>
      <c r="P30" s="143"/>
      <c r="Q30" s="143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</row>
    <row r="31">
      <c r="A31" s="130"/>
      <c r="B31" s="130"/>
      <c r="C31" s="131"/>
      <c r="D31" s="132"/>
      <c r="E31" s="130"/>
      <c r="F31" s="130"/>
      <c r="G31" s="130"/>
      <c r="H31" s="130"/>
      <c r="I31" s="130"/>
      <c r="J31" s="147"/>
      <c r="K31" s="135"/>
      <c r="L31" s="134"/>
      <c r="M31" s="132"/>
      <c r="N31" s="140"/>
      <c r="O31" s="132"/>
      <c r="P31" s="143"/>
      <c r="Q31" s="143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</row>
    <row r="32">
      <c r="A32" s="130"/>
      <c r="B32" s="130"/>
      <c r="C32" s="131"/>
      <c r="D32" s="132"/>
      <c r="E32" s="130"/>
      <c r="F32" s="130"/>
      <c r="G32" s="130"/>
      <c r="H32" s="130"/>
      <c r="I32" s="130"/>
      <c r="J32" s="155"/>
      <c r="K32" s="135"/>
      <c r="L32" s="135"/>
      <c r="M32" s="132"/>
      <c r="N32" s="140"/>
      <c r="O32" s="132"/>
      <c r="P32" s="143"/>
      <c r="Q32" s="143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</row>
    <row r="33">
      <c r="A33" s="130"/>
      <c r="B33" s="130"/>
      <c r="C33" s="131"/>
      <c r="D33" s="132"/>
      <c r="E33" s="130"/>
      <c r="F33" s="130"/>
      <c r="G33" s="130"/>
      <c r="H33" s="130"/>
      <c r="I33" s="130"/>
      <c r="J33" s="147"/>
      <c r="K33" s="135"/>
      <c r="L33" s="135"/>
      <c r="M33" s="132"/>
      <c r="N33" s="140"/>
      <c r="O33" s="132"/>
      <c r="P33" s="143"/>
      <c r="Q33" s="143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</row>
    <row r="34">
      <c r="A34" s="130"/>
      <c r="B34" s="130"/>
      <c r="C34" s="131"/>
      <c r="D34" s="132"/>
      <c r="E34" s="130"/>
      <c r="F34" s="130"/>
      <c r="G34" s="130"/>
      <c r="H34" s="130"/>
      <c r="I34" s="130"/>
      <c r="J34" s="147"/>
      <c r="K34" s="134"/>
      <c r="L34" s="135"/>
      <c r="M34" s="132"/>
      <c r="N34" s="140"/>
      <c r="O34" s="132"/>
      <c r="P34" s="143"/>
      <c r="Q34" s="143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</row>
    <row r="35">
      <c r="A35" s="130"/>
      <c r="B35" s="130"/>
      <c r="C35" s="131"/>
      <c r="D35" s="132"/>
      <c r="E35" s="130"/>
      <c r="F35" s="130"/>
      <c r="G35" s="130"/>
      <c r="H35" s="130"/>
      <c r="I35" s="152"/>
      <c r="J35" s="147"/>
      <c r="K35" s="134"/>
      <c r="L35" s="134"/>
      <c r="M35" s="132"/>
      <c r="N35" s="140"/>
      <c r="O35" s="132"/>
      <c r="P35" s="143"/>
      <c r="Q35" s="143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</row>
    <row r="36">
      <c r="A36" s="130"/>
      <c r="B36" s="130"/>
      <c r="C36" s="131"/>
      <c r="D36" s="132"/>
      <c r="E36" s="130"/>
      <c r="F36" s="130"/>
      <c r="G36" s="130"/>
      <c r="H36" s="130"/>
      <c r="I36" s="130"/>
      <c r="J36" s="132"/>
      <c r="K36" s="134"/>
      <c r="L36" s="135"/>
      <c r="M36" s="132"/>
      <c r="N36" s="140"/>
      <c r="O36" s="132"/>
      <c r="P36" s="143"/>
      <c r="Q36" s="143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</row>
    <row r="37">
      <c r="A37" s="130"/>
      <c r="B37" s="130"/>
      <c r="C37" s="131"/>
      <c r="D37" s="132"/>
      <c r="E37" s="130"/>
      <c r="F37" s="130"/>
      <c r="G37" s="130"/>
      <c r="H37" s="130"/>
      <c r="I37" s="130"/>
      <c r="J37" s="147"/>
      <c r="K37" s="134"/>
      <c r="L37" s="134"/>
      <c r="M37" s="132"/>
      <c r="N37" s="140"/>
      <c r="O37" s="132"/>
      <c r="P37" s="143"/>
      <c r="Q37" s="143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</row>
    <row r="38">
      <c r="A38" s="130"/>
      <c r="B38" s="130"/>
      <c r="C38" s="131"/>
      <c r="D38" s="132"/>
      <c r="E38" s="130"/>
      <c r="F38" s="130"/>
      <c r="G38" s="130"/>
      <c r="H38" s="130"/>
      <c r="I38" s="130"/>
      <c r="J38" s="147"/>
      <c r="K38" s="134"/>
      <c r="L38" s="135"/>
      <c r="M38" s="132"/>
      <c r="N38" s="140"/>
      <c r="O38" s="132"/>
      <c r="P38" s="143"/>
      <c r="Q38" s="143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</row>
    <row r="39">
      <c r="A39" s="130"/>
      <c r="B39" s="130"/>
      <c r="C39" s="131"/>
      <c r="D39" s="132"/>
      <c r="E39" s="130"/>
      <c r="F39" s="130"/>
      <c r="G39" s="130"/>
      <c r="H39" s="130"/>
      <c r="I39" s="130"/>
      <c r="J39" s="139"/>
      <c r="K39" s="134"/>
      <c r="L39" s="135"/>
      <c r="M39" s="132"/>
      <c r="N39" s="140"/>
      <c r="O39" s="132"/>
      <c r="P39" s="143"/>
      <c r="Q39" s="143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</row>
    <row r="40">
      <c r="A40" s="130"/>
      <c r="B40" s="130"/>
      <c r="C40" s="131"/>
      <c r="D40" s="132"/>
      <c r="E40" s="130"/>
      <c r="F40" s="130"/>
      <c r="G40" s="130"/>
      <c r="H40" s="130"/>
      <c r="I40" s="130"/>
      <c r="J40" s="147"/>
      <c r="K40" s="134"/>
      <c r="L40" s="134"/>
      <c r="M40" s="132"/>
      <c r="N40" s="140"/>
      <c r="O40" s="132"/>
      <c r="P40" s="143"/>
      <c r="Q40" s="143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</row>
    <row r="41">
      <c r="A41" s="130"/>
      <c r="B41" s="130"/>
      <c r="C41" s="131"/>
      <c r="D41" s="132"/>
      <c r="E41" s="130"/>
      <c r="F41" s="130"/>
      <c r="G41" s="130"/>
      <c r="H41" s="130"/>
      <c r="I41" s="130"/>
      <c r="J41" s="147"/>
      <c r="K41" s="134"/>
      <c r="L41" s="135"/>
      <c r="M41" s="132"/>
      <c r="N41" s="140"/>
      <c r="O41" s="132"/>
      <c r="P41" s="143"/>
      <c r="Q41" s="143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</row>
    <row r="42">
      <c r="A42" s="130"/>
      <c r="B42" s="130"/>
      <c r="C42" s="131"/>
      <c r="D42" s="132"/>
      <c r="E42" s="130"/>
      <c r="F42" s="130"/>
      <c r="G42" s="130"/>
      <c r="H42" s="130"/>
      <c r="I42" s="130"/>
      <c r="J42" s="132"/>
      <c r="K42" s="134"/>
      <c r="L42" s="134"/>
      <c r="M42" s="132"/>
      <c r="N42" s="140"/>
      <c r="O42" s="132"/>
      <c r="P42" s="143"/>
      <c r="Q42" s="143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</row>
    <row r="43">
      <c r="A43" s="130"/>
      <c r="B43" s="130"/>
      <c r="C43" s="131"/>
      <c r="D43" s="132"/>
      <c r="E43" s="130"/>
      <c r="F43" s="130"/>
      <c r="G43" s="130"/>
      <c r="H43" s="130"/>
      <c r="I43" s="130"/>
      <c r="J43" s="147"/>
      <c r="K43" s="134"/>
      <c r="L43" s="134"/>
      <c r="M43" s="132"/>
      <c r="N43" s="140"/>
      <c r="O43" s="132"/>
      <c r="P43" s="143"/>
      <c r="Q43" s="143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</row>
    <row r="44">
      <c r="A44" s="130"/>
      <c r="B44" s="130"/>
      <c r="C44" s="131"/>
      <c r="D44" s="132"/>
      <c r="E44" s="130"/>
      <c r="F44" s="130"/>
      <c r="G44" s="130"/>
      <c r="H44" s="130"/>
      <c r="I44" s="130"/>
      <c r="J44" s="147"/>
      <c r="K44" s="134"/>
      <c r="L44" s="134"/>
      <c r="M44" s="132"/>
      <c r="N44" s="140"/>
      <c r="O44" s="132"/>
      <c r="P44" s="143"/>
      <c r="Q44" s="143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</row>
    <row r="45">
      <c r="A45" s="130"/>
      <c r="B45" s="130"/>
      <c r="C45" s="131"/>
      <c r="D45" s="132"/>
      <c r="E45" s="130"/>
      <c r="F45" s="130"/>
      <c r="G45" s="130"/>
      <c r="H45" s="130"/>
      <c r="I45" s="130"/>
      <c r="J45" s="147"/>
      <c r="K45" s="134"/>
      <c r="L45" s="134"/>
      <c r="M45" s="132"/>
      <c r="N45" s="140"/>
      <c r="O45" s="132"/>
      <c r="P45" s="150"/>
      <c r="Q45" s="150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</row>
    <row r="46">
      <c r="A46" s="130"/>
      <c r="B46" s="130"/>
      <c r="C46" s="131"/>
      <c r="D46" s="132"/>
      <c r="E46" s="130"/>
      <c r="F46" s="130"/>
      <c r="G46" s="130"/>
      <c r="H46" s="130"/>
      <c r="I46" s="130"/>
      <c r="J46" s="147"/>
      <c r="K46" s="134"/>
      <c r="L46" s="135"/>
      <c r="M46" s="132"/>
      <c r="N46" s="140"/>
      <c r="O46" s="132"/>
      <c r="P46" s="143"/>
      <c r="Q46" s="143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</row>
    <row r="47">
      <c r="A47" s="156"/>
      <c r="B47" s="156"/>
      <c r="C47" s="131"/>
      <c r="D47" s="132"/>
      <c r="E47" s="130"/>
      <c r="F47" s="130"/>
      <c r="G47" s="130"/>
      <c r="H47" s="130"/>
      <c r="I47" s="156"/>
      <c r="J47" s="147"/>
      <c r="K47" s="157"/>
      <c r="L47" s="158"/>
      <c r="M47" s="159"/>
      <c r="N47" s="140"/>
      <c r="O47" s="132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</row>
    <row r="48">
      <c r="A48" s="130"/>
      <c r="B48" s="130"/>
      <c r="C48" s="131"/>
      <c r="D48" s="132"/>
      <c r="E48" s="130"/>
      <c r="F48" s="130"/>
      <c r="G48" s="130"/>
      <c r="H48" s="130"/>
      <c r="I48" s="130"/>
      <c r="J48" s="132"/>
      <c r="K48" s="134"/>
      <c r="L48" s="135"/>
      <c r="M48" s="132"/>
      <c r="N48" s="140"/>
      <c r="O48" s="132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</row>
    <row r="49">
      <c r="A49" s="130"/>
      <c r="B49" s="130"/>
      <c r="C49" s="131"/>
      <c r="D49" s="132"/>
      <c r="E49" s="130"/>
      <c r="F49" s="130"/>
      <c r="G49" s="130"/>
      <c r="H49" s="130"/>
      <c r="I49" s="130"/>
      <c r="J49" s="132"/>
      <c r="K49" s="134"/>
      <c r="L49" s="135"/>
      <c r="M49" s="132"/>
      <c r="N49" s="140"/>
      <c r="O49" s="132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</row>
    <row r="50">
      <c r="A50" s="130"/>
      <c r="B50" s="130"/>
      <c r="C50" s="131"/>
      <c r="D50" s="132"/>
      <c r="E50" s="130"/>
      <c r="F50" s="130"/>
      <c r="G50" s="130"/>
      <c r="H50" s="130"/>
      <c r="I50" s="130"/>
      <c r="J50" s="147"/>
      <c r="K50" s="134"/>
      <c r="L50" s="135"/>
      <c r="M50" s="132"/>
      <c r="N50" s="140"/>
      <c r="O50" s="132"/>
      <c r="P50" s="141"/>
      <c r="Q50" s="141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</row>
    <row r="51">
      <c r="A51" s="130"/>
      <c r="B51" s="130"/>
      <c r="C51" s="131"/>
      <c r="D51" s="132"/>
      <c r="E51" s="130"/>
      <c r="F51" s="130"/>
      <c r="G51" s="130"/>
      <c r="H51" s="130"/>
      <c r="I51" s="130"/>
      <c r="J51" s="132"/>
      <c r="K51" s="134"/>
      <c r="L51" s="135"/>
      <c r="M51" s="132"/>
      <c r="N51" s="140"/>
      <c r="O51" s="132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</row>
    <row r="52">
      <c r="A52" s="130"/>
      <c r="B52" s="130"/>
      <c r="C52" s="130"/>
      <c r="D52" s="132"/>
      <c r="E52" s="130"/>
      <c r="F52" s="130"/>
      <c r="G52" s="130"/>
      <c r="H52" s="130"/>
      <c r="I52" s="130"/>
      <c r="J52" s="147"/>
      <c r="K52" s="134"/>
      <c r="L52" s="135"/>
      <c r="M52" s="132"/>
      <c r="N52" s="140"/>
      <c r="O52" s="132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</row>
    <row r="53">
      <c r="A53" s="130"/>
      <c r="B53" s="130"/>
      <c r="C53" s="130"/>
      <c r="D53" s="132"/>
      <c r="E53" s="130"/>
      <c r="F53" s="130"/>
      <c r="G53" s="130"/>
      <c r="H53" s="130"/>
      <c r="I53" s="130"/>
      <c r="J53" s="147"/>
      <c r="K53" s="134"/>
      <c r="L53" s="135"/>
      <c r="M53" s="132"/>
      <c r="N53" s="140"/>
      <c r="O53" s="132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</row>
    <row r="54">
      <c r="A54" s="130"/>
      <c r="B54" s="130"/>
      <c r="C54" s="131"/>
      <c r="D54" s="132"/>
      <c r="E54" s="130"/>
      <c r="F54" s="130"/>
      <c r="G54" s="130"/>
      <c r="H54" s="130"/>
      <c r="I54" s="130"/>
      <c r="J54" s="147"/>
      <c r="K54" s="134"/>
      <c r="L54" s="135"/>
      <c r="M54" s="132"/>
      <c r="N54" s="140"/>
      <c r="O54" s="132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</row>
    <row r="55">
      <c r="A55" s="130"/>
      <c r="B55" s="130"/>
      <c r="C55" s="131"/>
      <c r="D55" s="132"/>
      <c r="E55" s="130"/>
      <c r="F55" s="130"/>
      <c r="G55" s="130"/>
      <c r="H55" s="130"/>
      <c r="I55" s="130"/>
      <c r="J55" s="147"/>
      <c r="K55" s="134"/>
      <c r="L55" s="135"/>
      <c r="M55" s="132"/>
      <c r="N55" s="140"/>
      <c r="O55" s="132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</row>
    <row r="56">
      <c r="A56" s="130"/>
      <c r="B56" s="130"/>
      <c r="C56" s="130"/>
      <c r="D56" s="132"/>
      <c r="E56" s="130"/>
      <c r="F56" s="130"/>
      <c r="G56" s="130"/>
      <c r="H56" s="130"/>
      <c r="I56" s="130"/>
      <c r="J56" s="147"/>
      <c r="K56" s="134"/>
      <c r="L56" s="135"/>
      <c r="M56" s="132"/>
      <c r="N56" s="140"/>
      <c r="O56" s="132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</row>
    <row r="57">
      <c r="A57" s="130"/>
      <c r="B57" s="130"/>
      <c r="C57" s="130"/>
      <c r="D57" s="132"/>
      <c r="E57" s="130"/>
      <c r="F57" s="130"/>
      <c r="G57" s="130"/>
      <c r="H57" s="130"/>
      <c r="I57" s="130"/>
      <c r="J57" s="147"/>
      <c r="K57" s="134"/>
      <c r="L57" s="135"/>
      <c r="M57" s="132"/>
      <c r="N57" s="140"/>
      <c r="O57" s="132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</row>
    <row r="58">
      <c r="A58" s="130"/>
      <c r="B58" s="130"/>
      <c r="C58" s="130"/>
      <c r="D58" s="132"/>
      <c r="E58" s="130"/>
      <c r="F58" s="130"/>
      <c r="G58" s="130"/>
      <c r="H58" s="130"/>
      <c r="I58" s="130"/>
      <c r="J58" s="132"/>
      <c r="K58" s="134"/>
      <c r="L58" s="135"/>
      <c r="M58" s="132"/>
      <c r="N58" s="140"/>
      <c r="O58" s="132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</row>
    <row r="59">
      <c r="A59" s="130"/>
      <c r="B59" s="130"/>
      <c r="C59" s="130"/>
      <c r="D59" s="132"/>
      <c r="E59" s="130"/>
      <c r="F59" s="130"/>
      <c r="G59" s="130"/>
      <c r="H59" s="130"/>
      <c r="I59" s="130"/>
      <c r="J59" s="132"/>
      <c r="K59" s="134"/>
      <c r="L59" s="135"/>
      <c r="M59" s="132"/>
      <c r="N59" s="140"/>
      <c r="O59" s="132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>
      <c r="A60" s="130"/>
      <c r="B60" s="130"/>
      <c r="C60" s="130"/>
      <c r="D60" s="132"/>
      <c r="E60" s="130"/>
      <c r="F60" s="130"/>
      <c r="G60" s="130"/>
      <c r="H60" s="130"/>
      <c r="I60" s="130"/>
      <c r="J60" s="132"/>
      <c r="K60" s="134"/>
      <c r="L60" s="135"/>
      <c r="M60" s="132"/>
      <c r="N60" s="140"/>
      <c r="O60" s="132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</row>
    <row r="61">
      <c r="A61" s="130"/>
      <c r="B61" s="130"/>
      <c r="C61" s="130"/>
      <c r="D61" s="132"/>
      <c r="E61" s="130"/>
      <c r="F61" s="130"/>
      <c r="G61" s="130"/>
      <c r="H61" s="130"/>
      <c r="I61" s="130"/>
      <c r="J61" s="147"/>
      <c r="K61" s="134"/>
      <c r="L61" s="135"/>
      <c r="M61" s="132"/>
      <c r="N61" s="140"/>
      <c r="O61" s="132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</row>
    <row r="62">
      <c r="A62" s="130"/>
      <c r="B62" s="130"/>
      <c r="C62" s="130"/>
      <c r="D62" s="132"/>
      <c r="E62" s="130"/>
      <c r="F62" s="130"/>
      <c r="G62" s="130"/>
      <c r="H62" s="130"/>
      <c r="I62" s="130"/>
      <c r="J62" s="147"/>
      <c r="K62" s="134"/>
      <c r="L62" s="135"/>
      <c r="M62" s="132"/>
      <c r="N62" s="140"/>
      <c r="O62" s="132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</row>
    <row r="63">
      <c r="A63" s="130"/>
      <c r="B63" s="130"/>
      <c r="C63" s="130"/>
      <c r="D63" s="132"/>
      <c r="E63" s="130"/>
      <c r="F63" s="130"/>
      <c r="G63" s="130"/>
      <c r="H63" s="130"/>
      <c r="I63" s="130"/>
      <c r="J63" s="147"/>
      <c r="K63" s="134"/>
      <c r="L63" s="135"/>
      <c r="M63" s="132"/>
      <c r="N63" s="140"/>
      <c r="O63" s="132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</row>
    <row r="64">
      <c r="A64" s="130"/>
      <c r="B64" s="130"/>
      <c r="C64" s="130"/>
      <c r="D64" s="132"/>
      <c r="E64" s="130"/>
      <c r="F64" s="130"/>
      <c r="G64" s="130"/>
      <c r="H64" s="130"/>
      <c r="I64" s="130"/>
      <c r="J64" s="147"/>
      <c r="K64" s="134"/>
      <c r="L64" s="135"/>
      <c r="M64" s="132"/>
      <c r="N64" s="140"/>
      <c r="O64" s="132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</row>
    <row r="65">
      <c r="A65" s="130"/>
      <c r="B65" s="130"/>
      <c r="C65" s="130"/>
      <c r="D65" s="132"/>
      <c r="E65" s="130"/>
      <c r="F65" s="130"/>
      <c r="G65" s="130"/>
      <c r="H65" s="130"/>
      <c r="I65" s="130"/>
      <c r="J65" s="132"/>
      <c r="K65" s="134"/>
      <c r="L65" s="135"/>
      <c r="M65" s="132"/>
      <c r="N65" s="140"/>
      <c r="O65" s="132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</row>
    <row r="66">
      <c r="A66" s="130"/>
      <c r="B66" s="130"/>
      <c r="C66" s="130"/>
      <c r="D66" s="132"/>
      <c r="E66" s="130"/>
      <c r="F66" s="130"/>
      <c r="G66" s="130"/>
      <c r="H66" s="130"/>
      <c r="I66" s="130"/>
      <c r="J66" s="147"/>
      <c r="K66" s="134"/>
      <c r="L66" s="135"/>
      <c r="M66" s="132"/>
      <c r="N66" s="140"/>
      <c r="O66" s="132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</row>
    <row r="67">
      <c r="A67" s="130"/>
      <c r="B67" s="130"/>
      <c r="C67" s="130"/>
      <c r="D67" s="132"/>
      <c r="E67" s="130"/>
      <c r="F67" s="130"/>
      <c r="G67" s="130"/>
      <c r="H67" s="130"/>
      <c r="I67" s="130"/>
      <c r="J67" s="147"/>
      <c r="K67" s="134"/>
      <c r="L67" s="135"/>
      <c r="M67" s="132"/>
      <c r="N67" s="140"/>
      <c r="O67" s="132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</row>
    <row r="68">
      <c r="A68" s="130"/>
      <c r="B68" s="130"/>
      <c r="C68" s="130"/>
      <c r="D68" s="132"/>
      <c r="E68" s="130"/>
      <c r="F68" s="130"/>
      <c r="G68" s="130"/>
      <c r="H68" s="130"/>
      <c r="I68" s="130"/>
      <c r="J68" s="147"/>
      <c r="K68" s="134"/>
      <c r="L68" s="134"/>
      <c r="M68" s="132"/>
      <c r="N68" s="140"/>
      <c r="O68" s="132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</row>
    <row r="69">
      <c r="A69" s="130"/>
      <c r="B69" s="130"/>
      <c r="C69" s="130"/>
      <c r="D69" s="132"/>
      <c r="E69" s="130"/>
      <c r="F69" s="130"/>
      <c r="G69" s="130"/>
      <c r="H69" s="130"/>
      <c r="I69" s="130"/>
      <c r="J69" s="132"/>
      <c r="K69" s="134"/>
      <c r="L69" s="135"/>
      <c r="M69" s="132"/>
      <c r="N69" s="140"/>
      <c r="O69" s="132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</row>
    <row r="70">
      <c r="A70" s="130"/>
      <c r="B70" s="130"/>
      <c r="C70" s="130"/>
      <c r="D70" s="132"/>
      <c r="E70" s="130"/>
      <c r="F70" s="130"/>
      <c r="G70" s="130"/>
      <c r="H70" s="130"/>
      <c r="I70" s="130"/>
      <c r="J70" s="147"/>
      <c r="K70" s="134"/>
      <c r="L70" s="135"/>
      <c r="M70" s="132"/>
      <c r="N70" s="140"/>
      <c r="O70" s="132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</row>
    <row r="71">
      <c r="A71" s="130"/>
      <c r="B71" s="130"/>
      <c r="C71" s="130"/>
      <c r="D71" s="132"/>
      <c r="E71" s="130"/>
      <c r="F71" s="130"/>
      <c r="G71" s="130"/>
      <c r="H71" s="130"/>
      <c r="I71" s="130"/>
      <c r="J71" s="147"/>
      <c r="K71" s="134"/>
      <c r="L71" s="135"/>
      <c r="M71" s="132"/>
      <c r="N71" s="161"/>
      <c r="O71" s="132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</row>
    <row r="72">
      <c r="A72" s="130"/>
      <c r="B72" s="130"/>
      <c r="C72" s="130"/>
      <c r="D72" s="132"/>
      <c r="E72" s="130"/>
      <c r="F72" s="130"/>
      <c r="G72" s="130"/>
      <c r="H72" s="130"/>
      <c r="I72" s="130"/>
      <c r="J72" s="132"/>
      <c r="K72" s="134"/>
      <c r="L72" s="135"/>
      <c r="M72" s="132"/>
      <c r="N72" s="161"/>
      <c r="O72" s="132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</row>
    <row r="73">
      <c r="A73" s="130"/>
      <c r="B73" s="130"/>
      <c r="C73" s="130"/>
      <c r="D73" s="132"/>
      <c r="E73" s="130"/>
      <c r="F73" s="130"/>
      <c r="G73" s="130"/>
      <c r="H73" s="130"/>
      <c r="I73" s="130"/>
      <c r="J73" s="147"/>
      <c r="K73" s="134"/>
      <c r="L73" s="135"/>
      <c r="M73" s="132"/>
      <c r="N73" s="140"/>
      <c r="O73" s="132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</row>
    <row r="74">
      <c r="A74" s="130"/>
      <c r="B74" s="130"/>
      <c r="C74" s="130"/>
      <c r="D74" s="132"/>
      <c r="E74" s="130"/>
      <c r="F74" s="130"/>
      <c r="G74" s="130"/>
      <c r="H74" s="130"/>
      <c r="I74" s="130"/>
      <c r="J74" s="132"/>
      <c r="K74" s="134"/>
      <c r="L74" s="135"/>
      <c r="M74" s="132"/>
      <c r="N74" s="161"/>
      <c r="O74" s="132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</row>
    <row r="75">
      <c r="A75" s="130"/>
      <c r="B75" s="130"/>
      <c r="C75" s="130"/>
      <c r="D75" s="132"/>
      <c r="E75" s="130"/>
      <c r="F75" s="130"/>
      <c r="G75" s="130"/>
      <c r="H75" s="130"/>
      <c r="I75" s="130"/>
      <c r="J75" s="132"/>
      <c r="K75" s="134"/>
      <c r="L75" s="135"/>
      <c r="M75" s="132"/>
      <c r="N75" s="161"/>
      <c r="O75" s="132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</row>
    <row r="76">
      <c r="A76" s="130"/>
      <c r="B76" s="130"/>
      <c r="C76" s="130"/>
      <c r="D76" s="132"/>
      <c r="E76" s="130"/>
      <c r="F76" s="130"/>
      <c r="G76" s="130"/>
      <c r="H76" s="130"/>
      <c r="I76" s="130"/>
      <c r="J76" s="147"/>
      <c r="K76" s="134"/>
      <c r="L76" s="135"/>
      <c r="M76" s="132"/>
      <c r="N76" s="161"/>
      <c r="O76" s="132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</row>
    <row r="77">
      <c r="A77" s="130"/>
      <c r="B77" s="130"/>
      <c r="C77" s="130"/>
      <c r="D77" s="132"/>
      <c r="E77" s="130"/>
      <c r="F77" s="130"/>
      <c r="G77" s="130"/>
      <c r="H77" s="130"/>
      <c r="I77" s="130"/>
      <c r="J77" s="132"/>
      <c r="K77" s="134"/>
      <c r="L77" s="135"/>
      <c r="M77" s="132"/>
      <c r="N77" s="140"/>
      <c r="O77" s="132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</row>
    <row r="78">
      <c r="A78" s="130"/>
      <c r="B78" s="130"/>
      <c r="C78" s="130"/>
      <c r="D78" s="132"/>
      <c r="E78" s="130"/>
      <c r="F78" s="130"/>
      <c r="G78" s="130"/>
      <c r="H78" s="130"/>
      <c r="I78" s="130"/>
      <c r="J78" s="132"/>
      <c r="K78" s="134"/>
      <c r="L78" s="135"/>
      <c r="M78" s="132"/>
      <c r="N78" s="161"/>
      <c r="O78" s="132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</row>
    <row r="79">
      <c r="A79" s="130"/>
      <c r="B79" s="130"/>
      <c r="C79" s="130"/>
      <c r="D79" s="132"/>
      <c r="E79" s="130"/>
      <c r="F79" s="130"/>
      <c r="G79" s="130"/>
      <c r="H79" s="130"/>
      <c r="I79" s="130"/>
      <c r="J79" s="147"/>
      <c r="K79" s="134"/>
      <c r="L79" s="135"/>
      <c r="M79" s="132"/>
      <c r="N79" s="140"/>
      <c r="O79" s="132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</row>
    <row r="80">
      <c r="A80" s="130"/>
      <c r="B80" s="130"/>
      <c r="C80" s="130"/>
      <c r="D80" s="132"/>
      <c r="E80" s="130"/>
      <c r="F80" s="130"/>
      <c r="G80" s="130"/>
      <c r="H80" s="130"/>
      <c r="I80" s="130"/>
      <c r="J80" s="147"/>
      <c r="K80" s="134"/>
      <c r="L80" s="135"/>
      <c r="M80" s="132"/>
      <c r="N80" s="140"/>
      <c r="O80" s="132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</row>
    <row r="81">
      <c r="A81" s="130"/>
      <c r="B81" s="130"/>
      <c r="C81" s="130"/>
      <c r="D81" s="132"/>
      <c r="E81" s="130"/>
      <c r="F81" s="130"/>
      <c r="G81" s="130"/>
      <c r="H81" s="130"/>
      <c r="I81" s="130"/>
      <c r="J81" s="147"/>
      <c r="K81" s="134"/>
      <c r="L81" s="135"/>
      <c r="M81" s="132"/>
      <c r="N81" s="140"/>
      <c r="O81" s="132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</row>
    <row r="82">
      <c r="A82" s="130"/>
      <c r="B82" s="130"/>
      <c r="C82" s="130"/>
      <c r="D82" s="132"/>
      <c r="E82" s="130"/>
      <c r="F82" s="130"/>
      <c r="G82" s="130"/>
      <c r="H82" s="130"/>
      <c r="I82" s="130"/>
      <c r="J82" s="132"/>
      <c r="K82" s="134"/>
      <c r="L82" s="135"/>
      <c r="M82" s="132"/>
      <c r="N82" s="161"/>
      <c r="O82" s="132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</row>
    <row r="83">
      <c r="A83" s="130"/>
      <c r="B83" s="130"/>
      <c r="C83" s="148"/>
      <c r="D83" s="132"/>
      <c r="E83" s="130"/>
      <c r="F83" s="130"/>
      <c r="G83" s="130"/>
      <c r="H83" s="130"/>
      <c r="I83" s="130"/>
      <c r="J83" s="132"/>
      <c r="K83" s="134"/>
      <c r="L83" s="135"/>
      <c r="M83" s="132"/>
      <c r="N83" s="140"/>
      <c r="O83" s="132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</row>
    <row r="84">
      <c r="A84" s="130"/>
      <c r="B84" s="130"/>
      <c r="C84" s="130"/>
      <c r="D84" s="132"/>
      <c r="E84" s="130"/>
      <c r="F84" s="130"/>
      <c r="G84" s="130"/>
      <c r="H84" s="130"/>
      <c r="I84" s="130"/>
      <c r="J84" s="132"/>
      <c r="K84" s="134"/>
      <c r="L84" s="135"/>
      <c r="M84" s="132"/>
      <c r="N84" s="161"/>
      <c r="O84" s="132"/>
      <c r="P84" s="143"/>
      <c r="Q84" s="143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</row>
    <row r="85">
      <c r="A85" s="130"/>
      <c r="B85" s="130"/>
      <c r="C85" s="130"/>
      <c r="D85" s="132"/>
      <c r="E85" s="130"/>
      <c r="F85" s="130"/>
      <c r="G85" s="130"/>
      <c r="H85" s="130"/>
      <c r="I85" s="130"/>
      <c r="J85" s="132"/>
      <c r="K85" s="134"/>
      <c r="L85" s="135"/>
      <c r="M85" s="132"/>
      <c r="N85" s="161"/>
      <c r="O85" s="132"/>
      <c r="P85" s="143"/>
      <c r="Q85" s="143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</row>
    <row r="86">
      <c r="A86" s="130"/>
      <c r="B86" s="130"/>
      <c r="C86" s="130"/>
      <c r="D86" s="132"/>
      <c r="E86" s="130"/>
      <c r="F86" s="130"/>
      <c r="G86" s="130"/>
      <c r="H86" s="130"/>
      <c r="I86" s="130"/>
      <c r="J86" s="132"/>
      <c r="K86" s="134"/>
      <c r="L86" s="135"/>
      <c r="M86" s="132"/>
      <c r="N86" s="161"/>
      <c r="O86" s="132"/>
      <c r="P86" s="143"/>
      <c r="Q86" s="143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</row>
    <row r="87">
      <c r="A87" s="130"/>
      <c r="B87" s="130"/>
      <c r="C87" s="130"/>
      <c r="D87" s="132"/>
      <c r="E87" s="130"/>
      <c r="F87" s="130"/>
      <c r="G87" s="130"/>
      <c r="H87" s="130"/>
      <c r="I87" s="130"/>
      <c r="J87" s="132"/>
      <c r="K87" s="134"/>
      <c r="L87" s="135"/>
      <c r="M87" s="132"/>
      <c r="N87" s="161"/>
      <c r="O87" s="132"/>
      <c r="P87" s="143"/>
      <c r="Q87" s="143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</row>
    <row r="88">
      <c r="A88" s="130"/>
      <c r="B88" s="130"/>
      <c r="C88" s="130"/>
      <c r="D88" s="132"/>
      <c r="E88" s="130"/>
      <c r="F88" s="130"/>
      <c r="G88" s="130"/>
      <c r="H88" s="130"/>
      <c r="I88" s="130"/>
      <c r="J88" s="132"/>
      <c r="K88" s="134"/>
      <c r="L88" s="135"/>
      <c r="M88" s="132"/>
      <c r="N88" s="161"/>
      <c r="O88" s="132"/>
      <c r="P88" s="143"/>
      <c r="Q88" s="143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</row>
    <row r="89">
      <c r="A89" s="130"/>
      <c r="B89" s="130"/>
      <c r="C89" s="130"/>
      <c r="D89" s="132"/>
      <c r="E89" s="130"/>
      <c r="F89" s="130"/>
      <c r="G89" s="130"/>
      <c r="H89" s="130"/>
      <c r="I89" s="130"/>
      <c r="J89" s="132"/>
      <c r="K89" s="134"/>
      <c r="L89" s="135"/>
      <c r="M89" s="132"/>
      <c r="N89" s="161"/>
      <c r="O89" s="132"/>
      <c r="P89" s="143"/>
      <c r="Q89" s="143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</row>
    <row r="90">
      <c r="A90" s="130"/>
      <c r="B90" s="130"/>
      <c r="C90" s="130"/>
      <c r="D90" s="132"/>
      <c r="E90" s="130"/>
      <c r="F90" s="130"/>
      <c r="G90" s="130"/>
      <c r="H90" s="130"/>
      <c r="I90" s="130"/>
      <c r="J90" s="132"/>
      <c r="K90" s="134"/>
      <c r="L90" s="135"/>
      <c r="M90" s="132"/>
      <c r="N90" s="161"/>
      <c r="O90" s="132"/>
      <c r="P90" s="143"/>
      <c r="Q90" s="143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</row>
    <row r="91">
      <c r="A91" s="130"/>
      <c r="B91" s="130"/>
      <c r="C91" s="130"/>
      <c r="D91" s="132"/>
      <c r="E91" s="130"/>
      <c r="F91" s="130"/>
      <c r="G91" s="130"/>
      <c r="H91" s="130"/>
      <c r="I91" s="130"/>
      <c r="J91" s="132"/>
      <c r="K91" s="134"/>
      <c r="L91" s="135"/>
      <c r="M91" s="132"/>
      <c r="N91" s="161"/>
      <c r="O91" s="132"/>
      <c r="P91" s="143"/>
      <c r="Q91" s="143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</row>
    <row r="92">
      <c r="A92" s="130"/>
      <c r="B92" s="130"/>
      <c r="C92" s="130"/>
      <c r="D92" s="132"/>
      <c r="E92" s="130"/>
      <c r="F92" s="130"/>
      <c r="G92" s="130"/>
      <c r="H92" s="130"/>
      <c r="I92" s="130"/>
      <c r="J92" s="132"/>
      <c r="K92" s="134"/>
      <c r="L92" s="135"/>
      <c r="M92" s="132"/>
      <c r="N92" s="161"/>
      <c r="O92" s="132"/>
      <c r="P92" s="143"/>
      <c r="Q92" s="143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</row>
    <row r="93">
      <c r="A93" s="130"/>
      <c r="B93" s="130"/>
      <c r="C93" s="130"/>
      <c r="D93" s="132"/>
      <c r="E93" s="130"/>
      <c r="F93" s="130"/>
      <c r="G93" s="130"/>
      <c r="H93" s="130"/>
      <c r="I93" s="130"/>
      <c r="J93" s="132"/>
      <c r="K93" s="134"/>
      <c r="L93" s="135"/>
      <c r="M93" s="132"/>
      <c r="N93" s="161"/>
      <c r="O93" s="132"/>
      <c r="P93" s="143"/>
      <c r="Q93" s="143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</row>
    <row r="94">
      <c r="A94" s="130"/>
      <c r="B94" s="130"/>
      <c r="C94" s="130"/>
      <c r="D94" s="132"/>
      <c r="E94" s="130"/>
      <c r="F94" s="130"/>
      <c r="G94" s="130"/>
      <c r="H94" s="130"/>
      <c r="I94" s="130"/>
      <c r="J94" s="132"/>
      <c r="K94" s="134"/>
      <c r="L94" s="135"/>
      <c r="M94" s="132"/>
      <c r="N94" s="161"/>
      <c r="O94" s="132"/>
      <c r="P94" s="143"/>
      <c r="Q94" s="143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</row>
    <row r="95">
      <c r="A95" s="130"/>
      <c r="B95" s="130"/>
      <c r="C95" s="130"/>
      <c r="D95" s="132"/>
      <c r="E95" s="130"/>
      <c r="F95" s="130"/>
      <c r="G95" s="130"/>
      <c r="H95" s="130"/>
      <c r="I95" s="130"/>
      <c r="J95" s="132"/>
      <c r="K95" s="134"/>
      <c r="L95" s="135"/>
      <c r="M95" s="132"/>
      <c r="N95" s="161"/>
      <c r="O95" s="132"/>
      <c r="P95" s="143"/>
      <c r="Q95" s="143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</row>
    <row r="96">
      <c r="A96" s="130"/>
      <c r="B96" s="130"/>
      <c r="C96" s="130"/>
      <c r="D96" s="132"/>
      <c r="E96" s="130"/>
      <c r="F96" s="130"/>
      <c r="G96" s="130"/>
      <c r="H96" s="130"/>
      <c r="I96" s="130"/>
      <c r="J96" s="132"/>
      <c r="K96" s="134"/>
      <c r="L96" s="135"/>
      <c r="M96" s="132"/>
      <c r="N96" s="161"/>
      <c r="O96" s="132"/>
      <c r="P96" s="143"/>
      <c r="Q96" s="143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</row>
    <row r="97">
      <c r="A97" s="130"/>
      <c r="B97" s="130"/>
      <c r="C97" s="130"/>
      <c r="D97" s="132"/>
      <c r="E97" s="130"/>
      <c r="F97" s="130"/>
      <c r="G97" s="130"/>
      <c r="H97" s="130"/>
      <c r="I97" s="130"/>
      <c r="J97" s="132"/>
      <c r="K97" s="134"/>
      <c r="L97" s="135"/>
      <c r="M97" s="132"/>
      <c r="N97" s="161"/>
      <c r="O97" s="132"/>
      <c r="P97" s="143"/>
      <c r="Q97" s="143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</row>
    <row r="98">
      <c r="A98" s="130"/>
      <c r="B98" s="130"/>
      <c r="C98" s="130"/>
      <c r="D98" s="132"/>
      <c r="E98" s="130"/>
      <c r="F98" s="130"/>
      <c r="G98" s="130"/>
      <c r="H98" s="130"/>
      <c r="I98" s="130"/>
      <c r="J98" s="132"/>
      <c r="K98" s="134"/>
      <c r="L98" s="135"/>
      <c r="M98" s="132"/>
      <c r="N98" s="161"/>
      <c r="O98" s="132"/>
      <c r="P98" s="143"/>
      <c r="Q98" s="143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</row>
    <row r="99">
      <c r="A99" s="130"/>
      <c r="B99" s="130"/>
      <c r="C99" s="130"/>
      <c r="D99" s="132"/>
      <c r="E99" s="130"/>
      <c r="F99" s="130"/>
      <c r="G99" s="130"/>
      <c r="H99" s="130"/>
      <c r="I99" s="130"/>
      <c r="J99" s="132"/>
      <c r="K99" s="134"/>
      <c r="L99" s="135"/>
      <c r="M99" s="132"/>
      <c r="N99" s="161"/>
      <c r="O99" s="132"/>
      <c r="P99" s="143"/>
      <c r="Q99" s="143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</row>
    <row r="100">
      <c r="A100" s="130"/>
      <c r="B100" s="130"/>
      <c r="C100" s="130"/>
      <c r="D100" s="132"/>
      <c r="E100" s="130"/>
      <c r="F100" s="130"/>
      <c r="G100" s="130"/>
      <c r="H100" s="130"/>
      <c r="I100" s="130"/>
      <c r="J100" s="132"/>
      <c r="K100" s="134"/>
      <c r="L100" s="135"/>
      <c r="M100" s="132"/>
      <c r="N100" s="161"/>
      <c r="O100" s="132"/>
      <c r="P100" s="143"/>
      <c r="Q100" s="143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</row>
    <row r="101">
      <c r="A101" s="130"/>
      <c r="B101" s="130"/>
      <c r="C101" s="130"/>
      <c r="D101" s="132"/>
      <c r="E101" s="130"/>
      <c r="F101" s="130"/>
      <c r="G101" s="130"/>
      <c r="H101" s="130"/>
      <c r="I101" s="130"/>
      <c r="J101" s="132"/>
      <c r="K101" s="134"/>
      <c r="L101" s="135"/>
      <c r="M101" s="132"/>
      <c r="N101" s="161"/>
      <c r="O101" s="132"/>
      <c r="P101" s="143"/>
      <c r="Q101" s="143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</row>
    <row r="102">
      <c r="A102" s="130"/>
      <c r="B102" s="130"/>
      <c r="C102" s="130"/>
      <c r="D102" s="132"/>
      <c r="E102" s="130"/>
      <c r="F102" s="130"/>
      <c r="G102" s="130"/>
      <c r="H102" s="130"/>
      <c r="I102" s="130"/>
      <c r="J102" s="132"/>
      <c r="K102" s="134"/>
      <c r="L102" s="135"/>
      <c r="M102" s="132"/>
      <c r="N102" s="161"/>
      <c r="O102" s="132"/>
      <c r="P102" s="143"/>
      <c r="Q102" s="143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</row>
    <row r="103">
      <c r="A103" s="130"/>
      <c r="B103" s="130"/>
      <c r="C103" s="130"/>
      <c r="D103" s="132"/>
      <c r="E103" s="130"/>
      <c r="F103" s="130"/>
      <c r="G103" s="130"/>
      <c r="H103" s="130"/>
      <c r="I103" s="130"/>
      <c r="J103" s="132"/>
      <c r="K103" s="134"/>
      <c r="L103" s="135"/>
      <c r="M103" s="132"/>
      <c r="N103" s="161"/>
      <c r="O103" s="132"/>
      <c r="P103" s="143"/>
      <c r="Q103" s="143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</row>
    <row r="104">
      <c r="A104" s="130"/>
      <c r="B104" s="130"/>
      <c r="C104" s="130"/>
      <c r="D104" s="132"/>
      <c r="E104" s="130"/>
      <c r="F104" s="130"/>
      <c r="G104" s="130"/>
      <c r="H104" s="130"/>
      <c r="I104" s="130"/>
      <c r="J104" s="132"/>
      <c r="K104" s="134"/>
      <c r="L104" s="135"/>
      <c r="M104" s="132"/>
      <c r="N104" s="161"/>
      <c r="O104" s="132"/>
      <c r="P104" s="143"/>
      <c r="Q104" s="143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</row>
    <row r="105">
      <c r="A105" s="130"/>
      <c r="B105" s="130"/>
      <c r="C105" s="130"/>
      <c r="D105" s="132"/>
      <c r="E105" s="130"/>
      <c r="F105" s="130"/>
      <c r="G105" s="130"/>
      <c r="H105" s="130"/>
      <c r="I105" s="130"/>
      <c r="J105" s="132"/>
      <c r="K105" s="134"/>
      <c r="L105" s="135"/>
      <c r="M105" s="132"/>
      <c r="N105" s="161"/>
      <c r="O105" s="132"/>
      <c r="P105" s="143"/>
      <c r="Q105" s="143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</row>
    <row r="106">
      <c r="A106" s="130"/>
      <c r="B106" s="130"/>
      <c r="C106" s="130"/>
      <c r="D106" s="132"/>
      <c r="E106" s="130"/>
      <c r="F106" s="130"/>
      <c r="G106" s="130"/>
      <c r="H106" s="130"/>
      <c r="I106" s="130"/>
      <c r="J106" s="132"/>
      <c r="K106" s="134"/>
      <c r="L106" s="135"/>
      <c r="M106" s="132"/>
      <c r="N106" s="161"/>
      <c r="O106" s="132"/>
      <c r="P106" s="143"/>
      <c r="Q106" s="143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</row>
    <row r="107">
      <c r="A107" s="130"/>
      <c r="B107" s="130"/>
      <c r="C107" s="130"/>
      <c r="D107" s="132"/>
      <c r="E107" s="130"/>
      <c r="F107" s="130"/>
      <c r="G107" s="130"/>
      <c r="H107" s="130"/>
      <c r="I107" s="130"/>
      <c r="J107" s="132"/>
      <c r="K107" s="134"/>
      <c r="L107" s="135"/>
      <c r="M107" s="132"/>
      <c r="N107" s="161"/>
      <c r="O107" s="132"/>
      <c r="P107" s="143"/>
      <c r="Q107" s="143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</row>
    <row r="108">
      <c r="A108" s="130"/>
      <c r="B108" s="130"/>
      <c r="C108" s="130"/>
      <c r="D108" s="132"/>
      <c r="E108" s="130"/>
      <c r="F108" s="130"/>
      <c r="G108" s="130"/>
      <c r="H108" s="130"/>
      <c r="I108" s="130"/>
      <c r="J108" s="132"/>
      <c r="K108" s="134"/>
      <c r="L108" s="135"/>
      <c r="M108" s="132"/>
      <c r="N108" s="161"/>
      <c r="O108" s="132"/>
      <c r="P108" s="143"/>
      <c r="Q108" s="143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</row>
    <row r="109">
      <c r="A109" s="130"/>
      <c r="B109" s="130"/>
      <c r="C109" s="130"/>
      <c r="D109" s="132"/>
      <c r="E109" s="130"/>
      <c r="F109" s="130"/>
      <c r="G109" s="130"/>
      <c r="H109" s="130"/>
      <c r="I109" s="130"/>
      <c r="J109" s="132"/>
      <c r="K109" s="134"/>
      <c r="L109" s="135"/>
      <c r="M109" s="132"/>
      <c r="N109" s="161"/>
      <c r="O109" s="132"/>
      <c r="P109" s="143"/>
      <c r="Q109" s="143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</row>
    <row r="110">
      <c r="A110" s="130"/>
      <c r="B110" s="130"/>
      <c r="C110" s="130"/>
      <c r="D110" s="132"/>
      <c r="E110" s="130"/>
      <c r="F110" s="130"/>
      <c r="G110" s="130"/>
      <c r="H110" s="130"/>
      <c r="I110" s="130"/>
      <c r="J110" s="132"/>
      <c r="K110" s="134"/>
      <c r="L110" s="135"/>
      <c r="M110" s="132"/>
      <c r="N110" s="161"/>
      <c r="O110" s="132"/>
      <c r="P110" s="143"/>
      <c r="Q110" s="143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</row>
    <row r="111">
      <c r="A111" s="130"/>
      <c r="B111" s="130"/>
      <c r="C111" s="130"/>
      <c r="D111" s="132"/>
      <c r="E111" s="130"/>
      <c r="F111" s="130"/>
      <c r="G111" s="130"/>
      <c r="H111" s="130"/>
      <c r="I111" s="130"/>
      <c r="J111" s="132"/>
      <c r="K111" s="134"/>
      <c r="L111" s="135"/>
      <c r="M111" s="132"/>
      <c r="N111" s="161"/>
      <c r="O111" s="132"/>
      <c r="P111" s="143"/>
      <c r="Q111" s="143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</row>
    <row r="112">
      <c r="A112" s="130"/>
      <c r="B112" s="130"/>
      <c r="C112" s="130"/>
      <c r="D112" s="132"/>
      <c r="E112" s="130"/>
      <c r="F112" s="130"/>
      <c r="G112" s="130"/>
      <c r="H112" s="130"/>
      <c r="I112" s="130"/>
      <c r="J112" s="132"/>
      <c r="K112" s="134"/>
      <c r="L112" s="135"/>
      <c r="M112" s="132"/>
      <c r="N112" s="161"/>
      <c r="O112" s="132"/>
      <c r="P112" s="143"/>
      <c r="Q112" s="143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</row>
    <row r="113">
      <c r="A113" s="130"/>
      <c r="B113" s="130"/>
      <c r="C113" s="130"/>
      <c r="D113" s="132"/>
      <c r="E113" s="130"/>
      <c r="F113" s="130"/>
      <c r="G113" s="130"/>
      <c r="H113" s="130"/>
      <c r="I113" s="130"/>
      <c r="J113" s="132"/>
      <c r="K113" s="134"/>
      <c r="L113" s="135"/>
      <c r="M113" s="132"/>
      <c r="N113" s="161"/>
      <c r="O113" s="132"/>
      <c r="P113" s="143"/>
      <c r="Q113" s="143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</row>
    <row r="114">
      <c r="A114" s="130"/>
      <c r="B114" s="130"/>
      <c r="C114" s="130"/>
      <c r="D114" s="132"/>
      <c r="E114" s="130"/>
      <c r="F114" s="130"/>
      <c r="G114" s="130"/>
      <c r="H114" s="130"/>
      <c r="I114" s="130"/>
      <c r="J114" s="132"/>
      <c r="K114" s="134"/>
      <c r="L114" s="135"/>
      <c r="M114" s="132"/>
      <c r="N114" s="161"/>
      <c r="O114" s="132"/>
      <c r="P114" s="143"/>
      <c r="Q114" s="143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</row>
    <row r="115">
      <c r="A115" s="130"/>
      <c r="B115" s="130"/>
      <c r="C115" s="130"/>
      <c r="D115" s="132"/>
      <c r="E115" s="130"/>
      <c r="F115" s="130"/>
      <c r="G115" s="130"/>
      <c r="H115" s="130"/>
      <c r="I115" s="130"/>
      <c r="J115" s="132"/>
      <c r="K115" s="134"/>
      <c r="L115" s="135"/>
      <c r="M115" s="132"/>
      <c r="N115" s="161"/>
      <c r="O115" s="132"/>
      <c r="P115" s="143"/>
      <c r="Q115" s="143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</row>
    <row r="116">
      <c r="A116" s="130"/>
      <c r="B116" s="130"/>
      <c r="C116" s="130"/>
      <c r="D116" s="132"/>
      <c r="E116" s="130"/>
      <c r="F116" s="130"/>
      <c r="G116" s="130"/>
      <c r="H116" s="130"/>
      <c r="I116" s="130"/>
      <c r="J116" s="132"/>
      <c r="K116" s="134"/>
      <c r="L116" s="135"/>
      <c r="M116" s="132"/>
      <c r="N116" s="161"/>
      <c r="O116" s="132"/>
      <c r="P116" s="143"/>
      <c r="Q116" s="143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</row>
    <row r="117">
      <c r="A117" s="130"/>
      <c r="B117" s="130"/>
      <c r="C117" s="130"/>
      <c r="D117" s="132"/>
      <c r="E117" s="130"/>
      <c r="F117" s="130"/>
      <c r="G117" s="130"/>
      <c r="H117" s="130"/>
      <c r="I117" s="130"/>
      <c r="J117" s="132"/>
      <c r="K117" s="134"/>
      <c r="L117" s="135"/>
      <c r="M117" s="132"/>
      <c r="N117" s="161"/>
      <c r="O117" s="132"/>
      <c r="P117" s="143"/>
      <c r="Q117" s="143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</row>
    <row r="118">
      <c r="A118" s="130"/>
      <c r="B118" s="130"/>
      <c r="C118" s="130"/>
      <c r="D118" s="132"/>
      <c r="E118" s="130"/>
      <c r="F118" s="130"/>
      <c r="G118" s="130"/>
      <c r="H118" s="130"/>
      <c r="I118" s="130"/>
      <c r="J118" s="132"/>
      <c r="K118" s="134"/>
      <c r="L118" s="135"/>
      <c r="M118" s="132"/>
      <c r="N118" s="161"/>
      <c r="O118" s="132"/>
      <c r="P118" s="143"/>
      <c r="Q118" s="143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</row>
    <row r="119">
      <c r="A119" s="130"/>
      <c r="B119" s="130"/>
      <c r="C119" s="130"/>
      <c r="D119" s="132"/>
      <c r="E119" s="130"/>
      <c r="F119" s="130"/>
      <c r="G119" s="130"/>
      <c r="H119" s="130"/>
      <c r="I119" s="130"/>
      <c r="J119" s="132"/>
      <c r="K119" s="134"/>
      <c r="L119" s="135"/>
      <c r="M119" s="132"/>
      <c r="N119" s="161"/>
      <c r="O119" s="132"/>
      <c r="P119" s="143"/>
      <c r="Q119" s="143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</row>
    <row r="120">
      <c r="A120" s="130"/>
      <c r="B120" s="130"/>
      <c r="C120" s="130"/>
      <c r="D120" s="132"/>
      <c r="E120" s="130"/>
      <c r="F120" s="130"/>
      <c r="G120" s="130"/>
      <c r="H120" s="130"/>
      <c r="I120" s="130"/>
      <c r="J120" s="132"/>
      <c r="K120" s="134"/>
      <c r="L120" s="135"/>
      <c r="M120" s="132"/>
      <c r="N120" s="161"/>
      <c r="O120" s="132"/>
      <c r="P120" s="143"/>
      <c r="Q120" s="143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</row>
    <row r="121">
      <c r="A121" s="130"/>
      <c r="B121" s="130"/>
      <c r="C121" s="130"/>
      <c r="D121" s="132"/>
      <c r="E121" s="130"/>
      <c r="F121" s="130"/>
      <c r="G121" s="130"/>
      <c r="H121" s="130"/>
      <c r="I121" s="130"/>
      <c r="J121" s="132"/>
      <c r="K121" s="134"/>
      <c r="L121" s="135"/>
      <c r="M121" s="132"/>
      <c r="N121" s="161"/>
      <c r="O121" s="132"/>
      <c r="P121" s="143"/>
      <c r="Q121" s="143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</row>
    <row r="122">
      <c r="A122" s="130"/>
      <c r="B122" s="130"/>
      <c r="C122" s="130"/>
      <c r="D122" s="132"/>
      <c r="E122" s="130"/>
      <c r="F122" s="130"/>
      <c r="G122" s="130"/>
      <c r="H122" s="130"/>
      <c r="I122" s="130"/>
      <c r="J122" s="132"/>
      <c r="K122" s="134"/>
      <c r="L122" s="135"/>
      <c r="M122" s="132"/>
      <c r="N122" s="161"/>
      <c r="O122" s="132"/>
      <c r="P122" s="143"/>
      <c r="Q122" s="143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</row>
    <row r="123">
      <c r="A123" s="130"/>
      <c r="B123" s="130"/>
      <c r="C123" s="130"/>
      <c r="D123" s="132"/>
      <c r="E123" s="130"/>
      <c r="F123" s="130"/>
      <c r="G123" s="130"/>
      <c r="H123" s="130"/>
      <c r="I123" s="130"/>
      <c r="J123" s="132"/>
      <c r="K123" s="134"/>
      <c r="L123" s="135"/>
      <c r="M123" s="132"/>
      <c r="N123" s="161"/>
      <c r="O123" s="132"/>
      <c r="P123" s="143"/>
      <c r="Q123" s="143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</row>
    <row r="124">
      <c r="A124" s="130"/>
      <c r="B124" s="130"/>
      <c r="C124" s="130"/>
      <c r="D124" s="132"/>
      <c r="E124" s="130"/>
      <c r="F124" s="130"/>
      <c r="G124" s="130"/>
      <c r="H124" s="130"/>
      <c r="I124" s="130"/>
      <c r="J124" s="132"/>
      <c r="K124" s="134"/>
      <c r="L124" s="135"/>
      <c r="M124" s="132"/>
      <c r="N124" s="161"/>
      <c r="O124" s="132"/>
      <c r="P124" s="143"/>
      <c r="Q124" s="143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</row>
    <row r="125">
      <c r="A125" s="130"/>
      <c r="B125" s="130"/>
      <c r="C125" s="130"/>
      <c r="D125" s="132"/>
      <c r="E125" s="130"/>
      <c r="F125" s="130"/>
      <c r="G125" s="130"/>
      <c r="H125" s="130"/>
      <c r="I125" s="130"/>
      <c r="J125" s="132"/>
      <c r="K125" s="134"/>
      <c r="L125" s="135"/>
      <c r="M125" s="132"/>
      <c r="N125" s="161"/>
      <c r="O125" s="132"/>
      <c r="P125" s="143"/>
      <c r="Q125" s="143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</row>
    <row r="126">
      <c r="A126" s="130"/>
      <c r="B126" s="130"/>
      <c r="C126" s="130"/>
      <c r="D126" s="132"/>
      <c r="E126" s="130"/>
      <c r="F126" s="130"/>
      <c r="G126" s="130"/>
      <c r="H126" s="130"/>
      <c r="I126" s="130"/>
      <c r="J126" s="132"/>
      <c r="K126" s="134"/>
      <c r="L126" s="135"/>
      <c r="M126" s="132"/>
      <c r="N126" s="161"/>
      <c r="O126" s="132"/>
      <c r="P126" s="143"/>
      <c r="Q126" s="143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</row>
    <row r="127">
      <c r="A127" s="130"/>
      <c r="B127" s="130"/>
      <c r="C127" s="130"/>
      <c r="D127" s="132"/>
      <c r="E127" s="130"/>
      <c r="F127" s="130"/>
      <c r="G127" s="130"/>
      <c r="H127" s="130"/>
      <c r="I127" s="130"/>
      <c r="J127" s="132"/>
      <c r="K127" s="134"/>
      <c r="L127" s="135"/>
      <c r="M127" s="132"/>
      <c r="N127" s="161"/>
      <c r="O127" s="132"/>
      <c r="P127" s="143"/>
      <c r="Q127" s="143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</row>
    <row r="128">
      <c r="A128" s="130"/>
      <c r="B128" s="130"/>
      <c r="C128" s="130"/>
      <c r="D128" s="132"/>
      <c r="E128" s="130"/>
      <c r="F128" s="130"/>
      <c r="G128" s="130"/>
      <c r="H128" s="130"/>
      <c r="I128" s="130"/>
      <c r="J128" s="132"/>
      <c r="K128" s="134"/>
      <c r="L128" s="135"/>
      <c r="M128" s="132"/>
      <c r="N128" s="161"/>
      <c r="O128" s="132"/>
      <c r="P128" s="143"/>
      <c r="Q128" s="143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</row>
    <row r="129">
      <c r="A129" s="130"/>
      <c r="B129" s="130"/>
      <c r="C129" s="130"/>
      <c r="D129" s="132"/>
      <c r="E129" s="130"/>
      <c r="F129" s="130"/>
      <c r="G129" s="130"/>
      <c r="H129" s="130"/>
      <c r="I129" s="130"/>
      <c r="J129" s="132"/>
      <c r="K129" s="134"/>
      <c r="L129" s="135"/>
      <c r="M129" s="132"/>
      <c r="N129" s="161"/>
      <c r="O129" s="132"/>
      <c r="P129" s="143"/>
      <c r="Q129" s="143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</row>
    <row r="130">
      <c r="A130" s="130"/>
      <c r="B130" s="130"/>
      <c r="C130" s="130"/>
      <c r="D130" s="132"/>
      <c r="E130" s="130"/>
      <c r="F130" s="130"/>
      <c r="G130" s="130"/>
      <c r="H130" s="130"/>
      <c r="I130" s="130"/>
      <c r="J130" s="132"/>
      <c r="K130" s="134"/>
      <c r="L130" s="135"/>
      <c r="M130" s="132"/>
      <c r="N130" s="161"/>
      <c r="O130" s="132"/>
      <c r="P130" s="143"/>
      <c r="Q130" s="143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</row>
    <row r="131">
      <c r="A131" s="130"/>
      <c r="B131" s="130"/>
      <c r="C131" s="130"/>
      <c r="D131" s="132"/>
      <c r="E131" s="130"/>
      <c r="F131" s="130"/>
      <c r="G131" s="130"/>
      <c r="H131" s="130"/>
      <c r="I131" s="130"/>
      <c r="J131" s="132"/>
      <c r="K131" s="134"/>
      <c r="L131" s="135"/>
      <c r="M131" s="132"/>
      <c r="N131" s="161"/>
      <c r="O131" s="132"/>
      <c r="P131" s="143"/>
      <c r="Q131" s="143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</row>
    <row r="132">
      <c r="A132" s="130"/>
      <c r="B132" s="130"/>
      <c r="C132" s="130"/>
      <c r="D132" s="132"/>
      <c r="E132" s="130"/>
      <c r="F132" s="130"/>
      <c r="G132" s="130"/>
      <c r="H132" s="130"/>
      <c r="I132" s="130"/>
      <c r="J132" s="132"/>
      <c r="K132" s="134"/>
      <c r="L132" s="135"/>
      <c r="M132" s="132"/>
      <c r="N132" s="161"/>
      <c r="O132" s="132"/>
      <c r="P132" s="143"/>
      <c r="Q132" s="143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</row>
    <row r="133">
      <c r="A133" s="130"/>
      <c r="B133" s="130"/>
      <c r="C133" s="130"/>
      <c r="D133" s="132"/>
      <c r="E133" s="130"/>
      <c r="F133" s="130"/>
      <c r="G133" s="130"/>
      <c r="H133" s="130"/>
      <c r="I133" s="130"/>
      <c r="J133" s="132"/>
      <c r="K133" s="134"/>
      <c r="L133" s="135"/>
      <c r="M133" s="132"/>
      <c r="N133" s="161"/>
      <c r="O133" s="132"/>
      <c r="P133" s="143"/>
      <c r="Q133" s="143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</row>
    <row r="134">
      <c r="A134" s="130"/>
      <c r="B134" s="130"/>
      <c r="C134" s="130"/>
      <c r="D134" s="132"/>
      <c r="E134" s="130"/>
      <c r="F134" s="130"/>
      <c r="G134" s="130"/>
      <c r="H134" s="130"/>
      <c r="I134" s="130"/>
      <c r="J134" s="132"/>
      <c r="K134" s="134"/>
      <c r="L134" s="135"/>
      <c r="M134" s="132"/>
      <c r="N134" s="161"/>
      <c r="O134" s="132"/>
      <c r="P134" s="143"/>
      <c r="Q134" s="143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</row>
    <row r="135">
      <c r="A135" s="130"/>
      <c r="B135" s="130"/>
      <c r="C135" s="130"/>
      <c r="D135" s="132"/>
      <c r="E135" s="130"/>
      <c r="F135" s="130"/>
      <c r="G135" s="130"/>
      <c r="H135" s="130"/>
      <c r="I135" s="130"/>
      <c r="J135" s="132"/>
      <c r="K135" s="134"/>
      <c r="L135" s="135"/>
      <c r="M135" s="132"/>
      <c r="N135" s="161"/>
      <c r="O135" s="132"/>
      <c r="P135" s="143"/>
      <c r="Q135" s="143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</row>
    <row r="136">
      <c r="A136" s="130"/>
      <c r="B136" s="130"/>
      <c r="C136" s="130"/>
      <c r="D136" s="132"/>
      <c r="E136" s="130"/>
      <c r="F136" s="130"/>
      <c r="G136" s="130"/>
      <c r="H136" s="130"/>
      <c r="I136" s="130"/>
      <c r="J136" s="132"/>
      <c r="K136" s="134"/>
      <c r="L136" s="135"/>
      <c r="M136" s="132"/>
      <c r="N136" s="161"/>
      <c r="O136" s="132"/>
      <c r="P136" s="143"/>
      <c r="Q136" s="143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</row>
    <row r="137">
      <c r="A137" s="130"/>
      <c r="B137" s="130"/>
      <c r="C137" s="130"/>
      <c r="D137" s="132"/>
      <c r="E137" s="130"/>
      <c r="F137" s="130"/>
      <c r="G137" s="130"/>
      <c r="H137" s="130"/>
      <c r="I137" s="130"/>
      <c r="J137" s="132"/>
      <c r="K137" s="134"/>
      <c r="L137" s="135"/>
      <c r="M137" s="132"/>
      <c r="N137" s="161"/>
      <c r="O137" s="132"/>
      <c r="P137" s="143"/>
      <c r="Q137" s="143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</row>
    <row r="138">
      <c r="A138" s="130"/>
      <c r="B138" s="130"/>
      <c r="C138" s="130"/>
      <c r="D138" s="132"/>
      <c r="E138" s="130"/>
      <c r="F138" s="130"/>
      <c r="G138" s="130"/>
      <c r="H138" s="130"/>
      <c r="I138" s="130"/>
      <c r="J138" s="132"/>
      <c r="K138" s="134"/>
      <c r="L138" s="135"/>
      <c r="M138" s="132"/>
      <c r="N138" s="161"/>
      <c r="O138" s="132"/>
      <c r="P138" s="143"/>
      <c r="Q138" s="143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</row>
    <row r="139">
      <c r="A139" s="130"/>
      <c r="B139" s="130"/>
      <c r="C139" s="130"/>
      <c r="D139" s="132"/>
      <c r="E139" s="130"/>
      <c r="F139" s="130"/>
      <c r="G139" s="130"/>
      <c r="H139" s="130"/>
      <c r="I139" s="130"/>
      <c r="J139" s="132"/>
      <c r="K139" s="134"/>
      <c r="L139" s="135"/>
      <c r="M139" s="132"/>
      <c r="N139" s="161"/>
      <c r="O139" s="132"/>
      <c r="P139" s="143"/>
      <c r="Q139" s="143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</row>
    <row r="140">
      <c r="A140" s="130"/>
      <c r="B140" s="130"/>
      <c r="C140" s="130"/>
      <c r="D140" s="132"/>
      <c r="E140" s="130"/>
      <c r="F140" s="130"/>
      <c r="G140" s="130"/>
      <c r="H140" s="130"/>
      <c r="I140" s="130"/>
      <c r="J140" s="132"/>
      <c r="K140" s="134"/>
      <c r="L140" s="135"/>
      <c r="M140" s="132"/>
      <c r="N140" s="161"/>
      <c r="O140" s="132"/>
      <c r="P140" s="143"/>
      <c r="Q140" s="143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</row>
    <row r="141">
      <c r="A141" s="130"/>
      <c r="B141" s="130"/>
      <c r="C141" s="130"/>
      <c r="D141" s="132"/>
      <c r="E141" s="130"/>
      <c r="F141" s="130"/>
      <c r="G141" s="130"/>
      <c r="H141" s="130"/>
      <c r="I141" s="130"/>
      <c r="J141" s="132"/>
      <c r="K141" s="134"/>
      <c r="L141" s="135"/>
      <c r="M141" s="132"/>
      <c r="N141" s="161"/>
      <c r="O141" s="132"/>
      <c r="P141" s="143"/>
      <c r="Q141" s="143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</row>
    <row r="142">
      <c r="A142" s="130"/>
      <c r="B142" s="130"/>
      <c r="C142" s="130"/>
      <c r="D142" s="132"/>
      <c r="E142" s="130"/>
      <c r="F142" s="130"/>
      <c r="G142" s="130"/>
      <c r="H142" s="130"/>
      <c r="I142" s="130"/>
      <c r="J142" s="132"/>
      <c r="K142" s="134"/>
      <c r="L142" s="135"/>
      <c r="M142" s="132"/>
      <c r="N142" s="161"/>
      <c r="O142" s="132"/>
      <c r="P142" s="143"/>
      <c r="Q142" s="143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</row>
    <row r="143">
      <c r="A143" s="130"/>
      <c r="B143" s="130"/>
      <c r="C143" s="130"/>
      <c r="D143" s="132"/>
      <c r="E143" s="130"/>
      <c r="F143" s="130"/>
      <c r="G143" s="130"/>
      <c r="H143" s="130"/>
      <c r="I143" s="130"/>
      <c r="J143" s="132"/>
      <c r="K143" s="134"/>
      <c r="L143" s="135"/>
      <c r="M143" s="132"/>
      <c r="N143" s="161"/>
      <c r="O143" s="132"/>
      <c r="P143" s="143"/>
      <c r="Q143" s="143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</row>
    <row r="144">
      <c r="A144" s="130"/>
      <c r="B144" s="130"/>
      <c r="C144" s="130"/>
      <c r="D144" s="132"/>
      <c r="E144" s="130"/>
      <c r="F144" s="130"/>
      <c r="G144" s="130"/>
      <c r="H144" s="130"/>
      <c r="I144" s="130"/>
      <c r="J144" s="132"/>
      <c r="K144" s="134"/>
      <c r="L144" s="135"/>
      <c r="M144" s="132"/>
      <c r="N144" s="161"/>
      <c r="O144" s="132"/>
      <c r="P144" s="143"/>
      <c r="Q144" s="143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</row>
    <row r="145">
      <c r="A145" s="130"/>
      <c r="B145" s="130"/>
      <c r="C145" s="130"/>
      <c r="D145" s="132"/>
      <c r="E145" s="130"/>
      <c r="F145" s="130"/>
      <c r="G145" s="130"/>
      <c r="H145" s="130"/>
      <c r="I145" s="130"/>
      <c r="J145" s="132"/>
      <c r="K145" s="134"/>
      <c r="L145" s="135"/>
      <c r="M145" s="132"/>
      <c r="N145" s="161"/>
      <c r="O145" s="132"/>
      <c r="P145" s="143"/>
      <c r="Q145" s="143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</row>
    <row r="146">
      <c r="A146" s="130"/>
      <c r="B146" s="130"/>
      <c r="C146" s="130"/>
      <c r="D146" s="132"/>
      <c r="E146" s="130"/>
      <c r="F146" s="130"/>
      <c r="G146" s="130"/>
      <c r="H146" s="130"/>
      <c r="I146" s="130"/>
      <c r="J146" s="132"/>
      <c r="K146" s="134"/>
      <c r="L146" s="135"/>
      <c r="M146" s="132"/>
      <c r="N146" s="161"/>
      <c r="O146" s="132"/>
      <c r="P146" s="143"/>
      <c r="Q146" s="143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</row>
    <row r="147">
      <c r="A147" s="130"/>
      <c r="B147" s="130"/>
      <c r="C147" s="130"/>
      <c r="D147" s="132"/>
      <c r="E147" s="130"/>
      <c r="F147" s="130"/>
      <c r="G147" s="130"/>
      <c r="H147" s="130"/>
      <c r="I147" s="130"/>
      <c r="J147" s="132"/>
      <c r="K147" s="134"/>
      <c r="L147" s="135"/>
      <c r="M147" s="132"/>
      <c r="N147" s="161"/>
      <c r="O147" s="132"/>
      <c r="P147" s="143"/>
      <c r="Q147" s="143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</row>
    <row r="148">
      <c r="A148" s="130"/>
      <c r="B148" s="130"/>
      <c r="C148" s="130"/>
      <c r="D148" s="132"/>
      <c r="E148" s="130"/>
      <c r="F148" s="130"/>
      <c r="G148" s="130"/>
      <c r="H148" s="130"/>
      <c r="I148" s="130"/>
      <c r="J148" s="132"/>
      <c r="K148" s="134"/>
      <c r="L148" s="135"/>
      <c r="M148" s="132"/>
      <c r="N148" s="161"/>
      <c r="O148" s="132"/>
      <c r="P148" s="143"/>
      <c r="Q148" s="143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</row>
  </sheetData>
  <autoFilter ref="$A$1:$Q$81">
    <sortState ref="A1:Q81">
      <sortCondition descending="1" ref="H1:H81"/>
    </sortState>
  </autoFilter>
  <customSheetViews>
    <customSheetView guid="{8E66E867-A891-4429-B6C7-0738B0EBDD35}" filter="1" showAutoFilter="1">
      <autoFilter ref="$A$1:$Q$81"/>
    </customSheetView>
    <customSheetView guid="{EFFCC731-4C38-4EFC-9B3F-E71CC35B304D}" filter="1" showAutoFilter="1">
      <autoFilter ref="$A$1:$Q$81">
        <filterColumn colId="3">
          <filters/>
        </filterColumn>
      </autoFilter>
    </customSheetView>
    <customSheetView guid="{C06F73FD-FBE6-4E47-84A8-9EE14A662F1F}" filter="1" showAutoFilter="1">
      <autoFilter ref="$A$1:$Q$81">
        <filterColumn colId="3">
          <filters/>
        </filterColumn>
      </autoFilter>
    </customSheetView>
    <customSheetView guid="{24E66665-CBD8-4873-B77F-7F4B2C0ACB8A}" filter="1" showAutoFilter="1">
      <autoFilter ref="$A$1:$Q$81">
        <filterColumn colId="3">
          <filters/>
        </filterColumn>
      </autoFilter>
    </customSheetView>
    <customSheetView guid="{DDFC2EB7-95C5-477C-8271-D8BCE39DC2D1}" filter="1" showAutoFilter="1">
      <autoFilter ref="$A$1:$Q$81"/>
    </customSheetView>
    <customSheetView guid="{DF2F70C7-8866-48E0-951D-0637A9BFC8E6}" filter="1" showAutoFilter="1">
      <autoFilter ref="$A$1:$Q$81"/>
    </customSheetView>
    <customSheetView guid="{895AF92A-7E5E-45BC-96C8-C40A9625D4DC}" filter="1" showAutoFilter="1">
      <autoFilter ref="$A$1:$Q$81"/>
    </customSheetView>
    <customSheetView guid="{5DF3053E-F225-4014-898E-852EF40825A9}" filter="1" showAutoFilter="1">
      <autoFilter ref="$A$1:$Q$81">
        <filterColumn colId="3">
          <filters blank="1"/>
        </filterColumn>
      </autoFilter>
    </customSheetView>
    <customSheetView guid="{749CF41C-BB59-4077-81FF-9F52BAA6BCB5}" filter="1" showAutoFilter="1">
      <autoFilter ref="$A$1:$Q$81"/>
    </customSheetView>
  </customSheetViews>
  <conditionalFormatting sqref="A2:I148 J2:J149 K2:AL148">
    <cfRule type="expression" dxfId="2" priority="1">
      <formula>$M2="Rechazado por QA"</formula>
    </cfRule>
  </conditionalFormatting>
  <conditionalFormatting sqref="A2:I148 J2:J149 K2:AL148">
    <cfRule type="expression" dxfId="3" priority="2">
      <formula>$H2="Validado"</formula>
    </cfRule>
  </conditionalFormatting>
  <conditionalFormatting sqref="A2:I148 J2:J149 K2:AL148">
    <cfRule type="expression" dxfId="4" priority="3">
      <formula>$H2="Corregido"</formula>
    </cfRule>
  </conditionalFormatting>
  <conditionalFormatting sqref="A2:I148 J2:J149 K2:AL148">
    <cfRule type="expression" dxfId="5" priority="4">
      <formula>$H2="Postergado"</formula>
    </cfRule>
  </conditionalFormatting>
  <conditionalFormatting sqref="A2:I148 J2:J149 K2:AL148">
    <cfRule type="expression" dxfId="5" priority="5">
      <formula>$H2="No procede"</formula>
    </cfRule>
  </conditionalFormatting>
  <conditionalFormatting sqref="O1:O148">
    <cfRule type="containsText" dxfId="6" priority="6" operator="containsText" text="Sin Responsable">
      <formula>NOT(ISERROR(SEARCH(("Sin Responsable"),(O1))))</formula>
    </cfRule>
  </conditionalFormatting>
  <conditionalFormatting sqref="M2:M148">
    <cfRule type="cellIs" dxfId="7" priority="7" operator="equal">
      <formula>"Corregido"</formula>
    </cfRule>
  </conditionalFormatting>
  <conditionalFormatting sqref="M2:M148">
    <cfRule type="cellIs" dxfId="7" priority="8" operator="equal">
      <formula>"Corregido"</formula>
    </cfRule>
  </conditionalFormatting>
  <conditionalFormatting sqref="M2:M148">
    <cfRule type="cellIs" dxfId="8" priority="9" operator="equal">
      <formula>"Corregido sin Subir"</formula>
    </cfRule>
  </conditionalFormatting>
  <dataValidations>
    <dataValidation type="list" allowBlank="1" sqref="E2:E148">
      <formula1>Configuraciones!$C$3:$C$18</formula1>
    </dataValidation>
    <dataValidation type="list" allowBlank="1" sqref="H2:H148">
      <formula1>Configuraciones!$E$3:$E$9</formula1>
    </dataValidation>
    <dataValidation type="list" allowBlank="1" sqref="G2:G148">
      <formula1>Configuraciones!$D$3:$D$17</formula1>
    </dataValidation>
    <dataValidation type="list" allowBlank="1" sqref="A2:A148">
      <formula1>'Test Case'!$A$4:$A$19</formula1>
    </dataValidation>
    <dataValidation type="list" allowBlank="1" sqref="D2:D148">
      <formula1>Configuraciones!$G$3:$G$17</formula1>
    </dataValidation>
    <dataValidation type="list" allowBlank="1" sqref="F2:F148">
      <formula1>Configuraciones!$B$3:$B$18</formula1>
    </dataValidation>
    <dataValidation type="list" allowBlank="1" showErrorMessage="1" sqref="O2:O148">
      <formula1>Configuraciones!$H$3:$H$19</formula1>
    </dataValidation>
    <dataValidation type="list" allowBlank="1" sqref="M2:M148">
      <formula1>Configuraciones!$F$3:$F$9</formula1>
    </dataValidation>
    <dataValidation type="custom" allowBlank="1" showDropDown="1" sqref="L1 K2:L148">
      <formula1>OR(NOT(ISERROR(DATEVALUE(K1))), AND(ISNUMBER(K1), LEFT(CELL("format", K1))="D"))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25"/>
    <col customWidth="1" min="2" max="2" width="51.75"/>
    <col customWidth="1" min="3" max="3" width="16.63"/>
    <col customWidth="1" min="4" max="4" width="21.13"/>
    <col customWidth="1" min="5" max="5" width="21.75"/>
    <col customWidth="1" min="6" max="6" width="42.0"/>
  </cols>
  <sheetData>
    <row r="1" ht="56.25" customHeight="1">
      <c r="A1" s="86" t="s">
        <v>124</v>
      </c>
      <c r="B1" s="87" t="s">
        <v>46</v>
      </c>
      <c r="C1" s="122" t="s">
        <v>125</v>
      </c>
      <c r="D1" s="87" t="s">
        <v>126</v>
      </c>
      <c r="E1" s="87" t="s">
        <v>127</v>
      </c>
      <c r="F1" s="87" t="s">
        <v>123</v>
      </c>
    </row>
    <row r="2">
      <c r="A2" s="89"/>
      <c r="B2" s="90"/>
      <c r="C2" s="135"/>
      <c r="D2" s="162" t="b">
        <v>0</v>
      </c>
      <c r="E2" s="91"/>
      <c r="F2" s="90"/>
    </row>
    <row r="3">
      <c r="A3" s="89"/>
      <c r="B3" s="69"/>
      <c r="C3" s="135"/>
      <c r="D3" s="92" t="b">
        <v>0</v>
      </c>
      <c r="E3" s="91"/>
      <c r="F3" s="69"/>
    </row>
    <row r="4">
      <c r="A4" s="89"/>
      <c r="B4" s="69"/>
      <c r="C4" s="135"/>
      <c r="D4" s="92" t="b">
        <v>0</v>
      </c>
      <c r="E4" s="91"/>
      <c r="F4" s="69"/>
    </row>
    <row r="5">
      <c r="A5" s="89"/>
      <c r="B5" s="69"/>
      <c r="C5" s="135"/>
      <c r="D5" s="92" t="b">
        <v>0</v>
      </c>
      <c r="E5" s="91"/>
      <c r="F5" s="69"/>
    </row>
    <row r="6">
      <c r="A6" s="89"/>
      <c r="B6" s="69"/>
      <c r="C6" s="135"/>
      <c r="D6" s="92" t="b">
        <v>0</v>
      </c>
      <c r="E6" s="91"/>
      <c r="F6" s="69"/>
    </row>
    <row r="7">
      <c r="A7" s="89"/>
      <c r="B7" s="69"/>
      <c r="C7" s="134"/>
      <c r="D7" s="92" t="b">
        <v>0</v>
      </c>
      <c r="E7" s="91"/>
      <c r="F7" s="69"/>
    </row>
    <row r="8">
      <c r="A8" s="89"/>
      <c r="B8" s="69"/>
      <c r="C8" s="135"/>
      <c r="D8" s="92" t="b">
        <v>0</v>
      </c>
      <c r="E8" s="91"/>
      <c r="F8" s="70"/>
    </row>
    <row r="9">
      <c r="A9" s="89"/>
      <c r="B9" s="69"/>
      <c r="C9" s="135"/>
      <c r="D9" s="92" t="b">
        <v>0</v>
      </c>
      <c r="E9" s="91"/>
      <c r="F9" s="70"/>
    </row>
    <row r="10">
      <c r="A10" s="89"/>
      <c r="B10" s="69"/>
      <c r="C10" s="135"/>
      <c r="D10" s="92" t="b">
        <v>0</v>
      </c>
      <c r="E10" s="91"/>
      <c r="F10" s="70"/>
    </row>
    <row r="11">
      <c r="A11" s="89"/>
      <c r="B11" s="69"/>
      <c r="C11" s="135"/>
      <c r="D11" s="92" t="b">
        <v>0</v>
      </c>
      <c r="E11" s="91"/>
      <c r="F11" s="70"/>
    </row>
    <row r="12">
      <c r="A12" s="89"/>
      <c r="B12" s="69"/>
      <c r="C12" s="135"/>
      <c r="D12" s="92" t="b">
        <v>0</v>
      </c>
      <c r="E12" s="91"/>
      <c r="F12" s="70"/>
    </row>
    <row r="13">
      <c r="A13" s="89"/>
      <c r="B13" s="69"/>
      <c r="C13" s="135"/>
      <c r="D13" s="92" t="b">
        <v>0</v>
      </c>
      <c r="E13" s="91"/>
      <c r="F13" s="70"/>
    </row>
    <row r="14">
      <c r="A14" s="89"/>
      <c r="B14" s="69"/>
      <c r="C14" s="134"/>
      <c r="D14" s="92" t="b">
        <v>0</v>
      </c>
      <c r="E14" s="91"/>
      <c r="F14" s="70"/>
    </row>
    <row r="15">
      <c r="A15" s="89"/>
      <c r="B15" s="69"/>
      <c r="C15" s="135"/>
      <c r="D15" s="92" t="b">
        <v>0</v>
      </c>
      <c r="E15" s="91"/>
      <c r="F15" s="70"/>
    </row>
    <row r="16">
      <c r="A16" s="89"/>
      <c r="B16" s="69"/>
      <c r="C16" s="135"/>
      <c r="D16" s="92" t="b">
        <v>0</v>
      </c>
      <c r="E16" s="91"/>
      <c r="F16" s="70"/>
    </row>
    <row r="17">
      <c r="A17" s="89"/>
      <c r="B17" s="69"/>
      <c r="C17" s="135"/>
      <c r="D17" s="92" t="b">
        <v>0</v>
      </c>
      <c r="E17" s="91"/>
      <c r="F17" s="70"/>
    </row>
    <row r="18">
      <c r="A18" s="89"/>
      <c r="B18" s="69"/>
      <c r="C18" s="135"/>
      <c r="D18" s="92" t="b">
        <v>0</v>
      </c>
      <c r="E18" s="91"/>
      <c r="F18" s="70"/>
    </row>
    <row r="19">
      <c r="A19" s="89"/>
      <c r="B19" s="69"/>
      <c r="C19" s="135"/>
      <c r="D19" s="92" t="b">
        <v>0</v>
      </c>
      <c r="E19" s="91"/>
      <c r="F19" s="70"/>
    </row>
    <row r="20">
      <c r="A20" s="89"/>
      <c r="B20" s="69"/>
      <c r="C20" s="134"/>
      <c r="D20" s="92" t="b">
        <v>0</v>
      </c>
      <c r="E20" s="91"/>
      <c r="F20" s="70"/>
    </row>
    <row r="21">
      <c r="A21" s="89"/>
      <c r="B21" s="69"/>
      <c r="C21" s="135"/>
      <c r="D21" s="92" t="b">
        <v>0</v>
      </c>
      <c r="E21" s="91"/>
      <c r="F21" s="70"/>
    </row>
    <row r="22">
      <c r="A22" s="89"/>
      <c r="B22" s="69"/>
      <c r="C22" s="135"/>
      <c r="D22" s="92" t="b">
        <v>0</v>
      </c>
      <c r="E22" s="91"/>
      <c r="F22" s="70"/>
    </row>
    <row r="23">
      <c r="A23" s="89"/>
      <c r="B23" s="69"/>
      <c r="C23" s="135"/>
      <c r="D23" s="92" t="b">
        <v>0</v>
      </c>
      <c r="E23" s="91"/>
      <c r="F23" s="70"/>
    </row>
    <row r="24">
      <c r="A24" s="89"/>
      <c r="B24" s="69"/>
      <c r="C24" s="135"/>
      <c r="D24" s="92" t="b">
        <v>0</v>
      </c>
      <c r="E24" s="91"/>
      <c r="F24" s="70"/>
    </row>
    <row r="25">
      <c r="A25" s="89"/>
      <c r="B25" s="69"/>
      <c r="C25" s="135"/>
      <c r="D25" s="92" t="b">
        <v>0</v>
      </c>
      <c r="E25" s="91"/>
      <c r="F25" s="70"/>
    </row>
    <row r="26">
      <c r="A26" s="89"/>
      <c r="B26" s="69"/>
      <c r="C26" s="134"/>
      <c r="D26" s="92" t="b">
        <v>0</v>
      </c>
      <c r="E26" s="91"/>
      <c r="F26" s="70"/>
    </row>
    <row r="27">
      <c r="A27" s="89"/>
      <c r="B27" s="69"/>
      <c r="C27" s="135"/>
      <c r="D27" s="92" t="b">
        <v>0</v>
      </c>
      <c r="E27" s="91"/>
      <c r="F27" s="70"/>
    </row>
    <row r="28">
      <c r="A28" s="89"/>
      <c r="B28" s="69"/>
      <c r="C28" s="135"/>
      <c r="D28" s="92" t="b">
        <v>0</v>
      </c>
      <c r="E28" s="91"/>
      <c r="F28" s="70"/>
    </row>
    <row r="29">
      <c r="A29" s="89"/>
      <c r="B29" s="69"/>
      <c r="C29" s="135"/>
      <c r="D29" s="92" t="b">
        <v>0</v>
      </c>
      <c r="E29" s="91"/>
      <c r="F29" s="70"/>
    </row>
    <row r="30">
      <c r="A30" s="89"/>
      <c r="B30" s="69"/>
      <c r="C30" s="135"/>
      <c r="D30" s="92" t="b">
        <v>0</v>
      </c>
      <c r="E30" s="91"/>
      <c r="F30" s="70"/>
    </row>
    <row r="31">
      <c r="A31" s="89"/>
      <c r="B31" s="69"/>
      <c r="C31" s="135"/>
      <c r="D31" s="92" t="b">
        <v>0</v>
      </c>
      <c r="E31" s="91"/>
      <c r="F31" s="70"/>
    </row>
    <row r="32">
      <c r="A32" s="89"/>
      <c r="B32" s="69"/>
      <c r="C32" s="134"/>
      <c r="D32" s="92" t="b">
        <v>0</v>
      </c>
      <c r="E32" s="91"/>
      <c r="F32" s="70"/>
    </row>
    <row r="33">
      <c r="A33" s="89"/>
      <c r="B33" s="69"/>
      <c r="C33" s="135"/>
      <c r="D33" s="92" t="b">
        <v>0</v>
      </c>
      <c r="E33" s="91"/>
      <c r="F33" s="70"/>
    </row>
    <row r="34">
      <c r="A34" s="89"/>
      <c r="B34" s="69"/>
      <c r="C34" s="135"/>
      <c r="D34" s="92" t="b">
        <v>0</v>
      </c>
      <c r="E34" s="91"/>
      <c r="F34" s="70"/>
    </row>
    <row r="35">
      <c r="A35" s="89"/>
      <c r="B35" s="69"/>
      <c r="C35" s="135"/>
      <c r="D35" s="92" t="b">
        <v>0</v>
      </c>
      <c r="E35" s="91"/>
      <c r="F35" s="70"/>
    </row>
    <row r="36">
      <c r="A36" s="89"/>
      <c r="B36" s="69"/>
      <c r="C36" s="135"/>
      <c r="D36" s="92" t="b">
        <v>0</v>
      </c>
      <c r="E36" s="91"/>
      <c r="F36" s="70"/>
    </row>
    <row r="37">
      <c r="A37" s="89"/>
      <c r="B37" s="69"/>
      <c r="C37" s="135"/>
      <c r="D37" s="92" t="b">
        <v>0</v>
      </c>
      <c r="E37" s="91"/>
      <c r="F37" s="70"/>
    </row>
    <row r="38">
      <c r="A38" s="89"/>
      <c r="B38" s="69"/>
      <c r="C38" s="134"/>
      <c r="D38" s="92" t="b">
        <v>0</v>
      </c>
      <c r="E38" s="91"/>
      <c r="F38" s="70"/>
    </row>
    <row r="39">
      <c r="A39" s="89"/>
      <c r="B39" s="69"/>
      <c r="C39" s="135"/>
      <c r="D39" s="92" t="b">
        <v>0</v>
      </c>
      <c r="E39" s="91"/>
      <c r="F39" s="70"/>
    </row>
    <row r="40">
      <c r="A40" s="89"/>
      <c r="B40" s="69"/>
      <c r="C40" s="135"/>
      <c r="D40" s="92" t="b">
        <v>0</v>
      </c>
      <c r="E40" s="91"/>
      <c r="F40" s="70"/>
    </row>
    <row r="41">
      <c r="A41" s="89"/>
      <c r="B41" s="69"/>
      <c r="C41" s="135"/>
      <c r="D41" s="92" t="b">
        <v>0</v>
      </c>
      <c r="E41" s="91"/>
      <c r="F41" s="70"/>
    </row>
    <row r="42">
      <c r="A42" s="89"/>
      <c r="B42" s="69"/>
      <c r="C42" s="135"/>
      <c r="D42" s="92" t="b">
        <v>0</v>
      </c>
      <c r="E42" s="91"/>
      <c r="F42" s="70"/>
    </row>
    <row r="43">
      <c r="A43" s="89"/>
      <c r="B43" s="69"/>
      <c r="C43" s="135"/>
      <c r="D43" s="92" t="b">
        <v>0</v>
      </c>
      <c r="E43" s="91"/>
      <c r="F43" s="70"/>
    </row>
    <row r="44">
      <c r="A44" s="89"/>
      <c r="B44" s="69"/>
      <c r="C44" s="134"/>
      <c r="D44" s="92" t="b">
        <v>0</v>
      </c>
      <c r="E44" s="91"/>
      <c r="F44" s="70"/>
    </row>
    <row r="45">
      <c r="A45" s="89"/>
      <c r="B45" s="69"/>
      <c r="C45" s="135"/>
      <c r="D45" s="92" t="b">
        <v>0</v>
      </c>
      <c r="E45" s="91"/>
      <c r="F45" s="70"/>
    </row>
    <row r="46">
      <c r="A46" s="89"/>
      <c r="B46" s="69"/>
      <c r="C46" s="135"/>
      <c r="D46" s="92" t="b">
        <v>0</v>
      </c>
      <c r="E46" s="91"/>
      <c r="F46" s="70"/>
    </row>
    <row r="47">
      <c r="A47" s="89"/>
      <c r="B47" s="69"/>
      <c r="C47" s="135"/>
      <c r="D47" s="92" t="b">
        <v>0</v>
      </c>
      <c r="E47" s="91"/>
      <c r="F47" s="70"/>
    </row>
    <row r="48">
      <c r="A48" s="89"/>
      <c r="B48" s="69"/>
      <c r="C48" s="135"/>
      <c r="D48" s="92" t="b">
        <v>0</v>
      </c>
      <c r="E48" s="91"/>
      <c r="F48" s="70"/>
    </row>
    <row r="49">
      <c r="A49" s="89"/>
      <c r="B49" s="69"/>
      <c r="C49" s="135"/>
      <c r="D49" s="92" t="b">
        <v>0</v>
      </c>
      <c r="E49" s="91"/>
      <c r="F49" s="70"/>
    </row>
    <row r="50">
      <c r="A50" s="89"/>
      <c r="B50" s="69"/>
      <c r="C50" s="134"/>
      <c r="D50" s="92" t="b">
        <v>0</v>
      </c>
      <c r="E50" s="91"/>
      <c r="F50" s="70"/>
    </row>
    <row r="51">
      <c r="A51" s="89"/>
      <c r="B51" s="69"/>
      <c r="C51" s="135"/>
      <c r="D51" s="92" t="b">
        <v>0</v>
      </c>
      <c r="E51" s="91"/>
      <c r="F51" s="70"/>
    </row>
    <row r="52">
      <c r="A52" s="89"/>
      <c r="B52" s="69"/>
      <c r="C52" s="135"/>
      <c r="D52" s="92" t="b">
        <v>0</v>
      </c>
      <c r="E52" s="91"/>
      <c r="F52" s="70"/>
    </row>
    <row r="53">
      <c r="A53" s="89"/>
      <c r="B53" s="69"/>
      <c r="C53" s="135"/>
      <c r="D53" s="92" t="b">
        <v>0</v>
      </c>
      <c r="E53" s="91"/>
      <c r="F53" s="70"/>
    </row>
    <row r="54">
      <c r="A54" s="89"/>
      <c r="B54" s="69"/>
      <c r="C54" s="135"/>
      <c r="D54" s="92" t="b">
        <v>0</v>
      </c>
      <c r="E54" s="91"/>
      <c r="F54" s="70"/>
    </row>
    <row r="55">
      <c r="A55" s="89"/>
      <c r="B55" s="69"/>
      <c r="C55" s="135"/>
      <c r="D55" s="92" t="b">
        <v>0</v>
      </c>
      <c r="E55" s="91"/>
      <c r="F55" s="70"/>
    </row>
    <row r="56">
      <c r="A56" s="89"/>
      <c r="B56" s="69"/>
      <c r="C56" s="134"/>
      <c r="D56" s="92" t="b">
        <v>0</v>
      </c>
      <c r="E56" s="91"/>
      <c r="F56" s="70"/>
    </row>
    <row r="57">
      <c r="A57" s="89"/>
      <c r="B57" s="69"/>
      <c r="C57" s="135"/>
      <c r="D57" s="92" t="b">
        <v>0</v>
      </c>
      <c r="E57" s="91"/>
      <c r="F57" s="70"/>
    </row>
    <row r="58">
      <c r="A58" s="89"/>
      <c r="B58" s="69"/>
      <c r="C58" s="135"/>
      <c r="D58" s="92" t="b">
        <v>0</v>
      </c>
      <c r="E58" s="91"/>
      <c r="F58" s="70"/>
    </row>
    <row r="59">
      <c r="A59" s="89"/>
      <c r="B59" s="69"/>
      <c r="C59" s="135"/>
      <c r="D59" s="92" t="b">
        <v>0</v>
      </c>
      <c r="E59" s="91"/>
      <c r="F59" s="70"/>
    </row>
    <row r="60">
      <c r="A60" s="89"/>
      <c r="B60" s="69"/>
      <c r="C60" s="135"/>
      <c r="D60" s="92" t="b">
        <v>0</v>
      </c>
      <c r="E60" s="91"/>
      <c r="F60" s="70"/>
    </row>
    <row r="61">
      <c r="A61" s="89"/>
      <c r="B61" s="69"/>
      <c r="C61" s="135"/>
      <c r="D61" s="92" t="b">
        <v>0</v>
      </c>
      <c r="E61" s="91"/>
      <c r="F61" s="70"/>
    </row>
    <row r="62">
      <c r="A62" s="89"/>
      <c r="B62" s="69"/>
      <c r="C62" s="134"/>
      <c r="D62" s="92" t="b">
        <v>0</v>
      </c>
      <c r="E62" s="91"/>
      <c r="F62" s="70"/>
    </row>
    <row r="63">
      <c r="A63" s="89"/>
      <c r="B63" s="69"/>
      <c r="C63" s="135"/>
      <c r="D63" s="92" t="b">
        <v>0</v>
      </c>
      <c r="E63" s="91"/>
      <c r="F63" s="70"/>
    </row>
    <row r="64">
      <c r="A64" s="89"/>
      <c r="B64" s="69"/>
      <c r="C64" s="135"/>
      <c r="D64" s="92" t="b">
        <v>0</v>
      </c>
      <c r="E64" s="91"/>
      <c r="F64" s="70"/>
    </row>
    <row r="65">
      <c r="A65" s="89"/>
      <c r="B65" s="69"/>
      <c r="C65" s="135"/>
      <c r="D65" s="92" t="b">
        <v>0</v>
      </c>
      <c r="E65" s="91"/>
      <c r="F65" s="70"/>
    </row>
    <row r="66">
      <c r="A66" s="89"/>
      <c r="B66" s="69"/>
      <c r="C66" s="135"/>
      <c r="D66" s="92" t="b">
        <v>0</v>
      </c>
      <c r="E66" s="91"/>
      <c r="F66" s="70"/>
    </row>
    <row r="67">
      <c r="A67" s="89"/>
      <c r="B67" s="69"/>
      <c r="C67" s="135"/>
      <c r="D67" s="92" t="b">
        <v>0</v>
      </c>
      <c r="E67" s="91"/>
      <c r="F67" s="70"/>
    </row>
    <row r="68">
      <c r="A68" s="89"/>
      <c r="B68" s="69"/>
      <c r="C68" s="134"/>
      <c r="D68" s="92" t="b">
        <v>0</v>
      </c>
      <c r="E68" s="91"/>
      <c r="F68" s="70"/>
    </row>
    <row r="69">
      <c r="A69" s="89"/>
      <c r="B69" s="69"/>
      <c r="C69" s="135"/>
      <c r="D69" s="92" t="b">
        <v>0</v>
      </c>
      <c r="E69" s="91"/>
      <c r="F69" s="70"/>
    </row>
    <row r="70">
      <c r="A70" s="89"/>
      <c r="B70" s="69"/>
      <c r="C70" s="135"/>
      <c r="D70" s="92" t="b">
        <v>0</v>
      </c>
      <c r="E70" s="91"/>
      <c r="F70" s="70"/>
    </row>
    <row r="71">
      <c r="A71" s="89"/>
      <c r="B71" s="69"/>
      <c r="C71" s="135"/>
      <c r="D71" s="92" t="b">
        <v>0</v>
      </c>
      <c r="E71" s="91"/>
      <c r="F71" s="70"/>
    </row>
    <row r="72">
      <c r="A72" s="89"/>
      <c r="B72" s="69"/>
      <c r="C72" s="135"/>
      <c r="D72" s="92" t="b">
        <v>0</v>
      </c>
      <c r="E72" s="91"/>
      <c r="F72" s="70"/>
    </row>
    <row r="73">
      <c r="A73" s="89"/>
      <c r="B73" s="69"/>
      <c r="C73" s="135"/>
      <c r="D73" s="92" t="b">
        <v>0</v>
      </c>
      <c r="E73" s="91"/>
      <c r="F73" s="70"/>
    </row>
    <row r="74">
      <c r="A74" s="89"/>
      <c r="B74" s="69"/>
      <c r="C74" s="134"/>
      <c r="D74" s="92" t="b">
        <v>0</v>
      </c>
      <c r="E74" s="91"/>
      <c r="F74" s="70"/>
    </row>
    <row r="75">
      <c r="A75" s="89"/>
      <c r="B75" s="69"/>
      <c r="C75" s="135"/>
      <c r="D75" s="92" t="b">
        <v>0</v>
      </c>
      <c r="E75" s="91"/>
      <c r="F75" s="70"/>
    </row>
    <row r="76">
      <c r="A76" s="89"/>
      <c r="B76" s="69"/>
      <c r="C76" s="135"/>
      <c r="D76" s="92" t="b">
        <v>0</v>
      </c>
      <c r="E76" s="91"/>
      <c r="F76" s="70"/>
    </row>
    <row r="77">
      <c r="A77" s="89"/>
      <c r="B77" s="69"/>
      <c r="C77" s="135"/>
      <c r="D77" s="92" t="b">
        <v>0</v>
      </c>
      <c r="E77" s="91"/>
      <c r="F77" s="70"/>
    </row>
    <row r="78">
      <c r="A78" s="89"/>
      <c r="B78" s="69"/>
      <c r="C78" s="135"/>
      <c r="D78" s="92" t="b">
        <v>0</v>
      </c>
      <c r="E78" s="91"/>
      <c r="F78" s="70"/>
    </row>
    <row r="79">
      <c r="A79" s="89"/>
      <c r="B79" s="69"/>
      <c r="C79" s="135"/>
      <c r="D79" s="92" t="b">
        <v>0</v>
      </c>
      <c r="E79" s="91"/>
      <c r="F79" s="70"/>
    </row>
    <row r="80">
      <c r="A80" s="89"/>
      <c r="B80" s="69"/>
      <c r="C80" s="134"/>
      <c r="D80" s="92" t="b">
        <v>0</v>
      </c>
      <c r="E80" s="91"/>
      <c r="F80" s="70"/>
    </row>
    <row r="81">
      <c r="A81" s="89"/>
      <c r="B81" s="69"/>
      <c r="C81" s="135"/>
      <c r="D81" s="92" t="b">
        <v>0</v>
      </c>
      <c r="E81" s="91"/>
      <c r="F81" s="70"/>
    </row>
    <row r="82">
      <c r="A82" s="89"/>
      <c r="B82" s="69"/>
      <c r="C82" s="135"/>
      <c r="D82" s="92" t="b">
        <v>0</v>
      </c>
      <c r="E82" s="91"/>
      <c r="F82" s="70"/>
    </row>
    <row r="83">
      <c r="A83" s="89"/>
      <c r="B83" s="69"/>
      <c r="C83" s="135"/>
      <c r="D83" s="92" t="b">
        <v>0</v>
      </c>
      <c r="E83" s="91"/>
      <c r="F83" s="70"/>
    </row>
    <row r="84">
      <c r="A84" s="89"/>
      <c r="B84" s="69"/>
      <c r="C84" s="135"/>
      <c r="D84" s="92" t="b">
        <v>0</v>
      </c>
      <c r="E84" s="91"/>
      <c r="F84" s="70"/>
    </row>
    <row r="85">
      <c r="A85" s="89"/>
      <c r="B85" s="69"/>
      <c r="C85" s="135"/>
      <c r="D85" s="92" t="b">
        <v>0</v>
      </c>
      <c r="E85" s="91"/>
      <c r="F85" s="70"/>
    </row>
    <row r="86">
      <c r="A86" s="89"/>
      <c r="B86" s="69"/>
      <c r="C86" s="134"/>
      <c r="D86" s="92" t="b">
        <v>0</v>
      </c>
      <c r="E86" s="91"/>
      <c r="F86" s="70"/>
    </row>
    <row r="87">
      <c r="A87" s="89"/>
      <c r="B87" s="69"/>
      <c r="C87" s="135"/>
      <c r="D87" s="92" t="b">
        <v>0</v>
      </c>
      <c r="E87" s="91"/>
      <c r="F87" s="70"/>
    </row>
    <row r="88">
      <c r="A88" s="89"/>
      <c r="B88" s="69"/>
      <c r="C88" s="135"/>
      <c r="D88" s="92" t="b">
        <v>0</v>
      </c>
      <c r="E88" s="91"/>
      <c r="F88" s="70"/>
    </row>
    <row r="89">
      <c r="A89" s="89"/>
      <c r="B89" s="69"/>
      <c r="C89" s="135"/>
      <c r="D89" s="92" t="b">
        <v>0</v>
      </c>
      <c r="E89" s="91"/>
      <c r="F89" s="70"/>
    </row>
    <row r="90">
      <c r="A90" s="89"/>
      <c r="B90" s="69"/>
      <c r="C90" s="135"/>
      <c r="D90" s="92" t="b">
        <v>0</v>
      </c>
      <c r="E90" s="91"/>
      <c r="F90" s="70"/>
    </row>
    <row r="91">
      <c r="A91" s="89"/>
      <c r="B91" s="69"/>
      <c r="C91" s="135"/>
      <c r="D91" s="92" t="b">
        <v>0</v>
      </c>
      <c r="E91" s="91"/>
      <c r="F91" s="70"/>
    </row>
    <row r="92">
      <c r="A92" s="89"/>
      <c r="B92" s="69"/>
      <c r="C92" s="134"/>
      <c r="D92" s="92" t="b">
        <v>0</v>
      </c>
      <c r="E92" s="91"/>
      <c r="F92" s="70"/>
    </row>
    <row r="93">
      <c r="A93" s="89"/>
      <c r="B93" s="69"/>
      <c r="C93" s="135"/>
      <c r="D93" s="92" t="b">
        <v>0</v>
      </c>
      <c r="E93" s="91"/>
      <c r="F93" s="70"/>
    </row>
    <row r="94">
      <c r="A94" s="89"/>
      <c r="B94" s="69"/>
      <c r="C94" s="135"/>
      <c r="D94" s="92" t="b">
        <v>0</v>
      </c>
      <c r="E94" s="91"/>
      <c r="F94" s="70"/>
    </row>
    <row r="95">
      <c r="A95" s="89"/>
      <c r="B95" s="69"/>
      <c r="C95" s="135"/>
      <c r="D95" s="92" t="b">
        <v>0</v>
      </c>
      <c r="E95" s="91"/>
      <c r="F95" s="70"/>
    </row>
    <row r="96">
      <c r="A96" s="89"/>
      <c r="B96" s="69"/>
      <c r="C96" s="135"/>
      <c r="D96" s="92" t="b">
        <v>0</v>
      </c>
      <c r="E96" s="91"/>
      <c r="F96" s="70"/>
    </row>
    <row r="97">
      <c r="A97" s="89"/>
      <c r="B97" s="69"/>
      <c r="C97" s="135"/>
      <c r="D97" s="92" t="b">
        <v>0</v>
      </c>
      <c r="E97" s="91"/>
      <c r="F97" s="70"/>
    </row>
    <row r="98">
      <c r="A98" s="89"/>
      <c r="B98" s="69"/>
      <c r="C98" s="134"/>
      <c r="D98" s="92" t="b">
        <v>0</v>
      </c>
      <c r="E98" s="91"/>
      <c r="F98" s="70"/>
    </row>
    <row r="99">
      <c r="A99" s="89"/>
      <c r="B99" s="69"/>
      <c r="C99" s="135"/>
      <c r="D99" s="92" t="b">
        <v>0</v>
      </c>
      <c r="E99" s="91"/>
      <c r="F99" s="70"/>
    </row>
    <row r="100">
      <c r="A100" s="89"/>
      <c r="B100" s="69"/>
      <c r="C100" s="135"/>
      <c r="D100" s="92" t="b">
        <v>0</v>
      </c>
      <c r="E100" s="91"/>
      <c r="F100" s="70"/>
    </row>
    <row r="101">
      <c r="A101" s="89"/>
      <c r="B101" s="69"/>
      <c r="C101" s="135"/>
      <c r="D101" s="92" t="b">
        <v>0</v>
      </c>
      <c r="E101" s="91"/>
      <c r="F101" s="70"/>
    </row>
    <row r="102">
      <c r="A102" s="89"/>
      <c r="B102" s="69"/>
      <c r="C102" s="135"/>
      <c r="D102" s="92" t="b">
        <v>0</v>
      </c>
      <c r="E102" s="91"/>
      <c r="F102" s="70"/>
    </row>
    <row r="103">
      <c r="A103" s="89"/>
      <c r="B103" s="69"/>
      <c r="C103" s="135"/>
      <c r="D103" s="92" t="b">
        <v>0</v>
      </c>
      <c r="E103" s="91"/>
      <c r="F103" s="70"/>
    </row>
    <row r="104">
      <c r="A104" s="89"/>
      <c r="B104" s="69"/>
      <c r="C104" s="134"/>
      <c r="D104" s="92" t="b">
        <v>0</v>
      </c>
      <c r="E104" s="91"/>
      <c r="F104" s="70"/>
    </row>
    <row r="105">
      <c r="A105" s="89"/>
      <c r="B105" s="69"/>
      <c r="C105" s="135"/>
      <c r="D105" s="92" t="b">
        <v>0</v>
      </c>
      <c r="E105" s="91"/>
      <c r="F105" s="70"/>
    </row>
    <row r="106">
      <c r="A106" s="89"/>
      <c r="B106" s="69"/>
      <c r="C106" s="135"/>
      <c r="D106" s="92" t="b">
        <v>0</v>
      </c>
      <c r="E106" s="91"/>
      <c r="F106" s="70"/>
    </row>
    <row r="107">
      <c r="A107" s="89"/>
      <c r="B107" s="69"/>
      <c r="C107" s="135"/>
      <c r="D107" s="92" t="b">
        <v>0</v>
      </c>
      <c r="E107" s="91"/>
      <c r="F107" s="70"/>
    </row>
    <row r="108">
      <c r="A108" s="89"/>
      <c r="B108" s="69"/>
      <c r="C108" s="135"/>
      <c r="D108" s="92" t="b">
        <v>0</v>
      </c>
      <c r="E108" s="91"/>
      <c r="F108" s="70"/>
    </row>
    <row r="109">
      <c r="A109" s="89"/>
      <c r="B109" s="69"/>
      <c r="C109" s="135"/>
      <c r="D109" s="92" t="b">
        <v>0</v>
      </c>
      <c r="E109" s="91"/>
      <c r="F109" s="70"/>
    </row>
    <row r="110">
      <c r="A110" s="89"/>
      <c r="B110" s="69"/>
      <c r="C110" s="134"/>
      <c r="D110" s="92" t="b">
        <v>0</v>
      </c>
      <c r="E110" s="91"/>
      <c r="F110" s="70"/>
    </row>
    <row r="111">
      <c r="A111" s="89"/>
      <c r="B111" s="69"/>
      <c r="C111" s="135"/>
      <c r="D111" s="92" t="b">
        <v>0</v>
      </c>
      <c r="E111" s="91"/>
      <c r="F111" s="70"/>
    </row>
    <row r="112">
      <c r="A112" s="89"/>
      <c r="B112" s="69"/>
      <c r="C112" s="135"/>
      <c r="D112" s="92" t="b">
        <v>0</v>
      </c>
      <c r="E112" s="91"/>
      <c r="F112" s="70"/>
    </row>
    <row r="113">
      <c r="A113" s="89"/>
      <c r="B113" s="69"/>
      <c r="C113" s="135"/>
      <c r="D113" s="92" t="b">
        <v>0</v>
      </c>
      <c r="E113" s="91"/>
      <c r="F113" s="70"/>
    </row>
    <row r="114">
      <c r="A114" s="89"/>
      <c r="B114" s="69"/>
      <c r="C114" s="135"/>
      <c r="D114" s="92" t="b">
        <v>0</v>
      </c>
      <c r="E114" s="91"/>
      <c r="F114" s="70"/>
    </row>
    <row r="115">
      <c r="A115" s="89"/>
      <c r="B115" s="69"/>
      <c r="C115" s="135"/>
      <c r="D115" s="92" t="b">
        <v>0</v>
      </c>
      <c r="E115" s="91"/>
      <c r="F115" s="70"/>
    </row>
    <row r="116">
      <c r="A116" s="89"/>
      <c r="B116" s="69"/>
      <c r="C116" s="134"/>
      <c r="D116" s="92" t="b">
        <v>0</v>
      </c>
      <c r="E116" s="91"/>
      <c r="F116" s="70"/>
    </row>
    <row r="117">
      <c r="A117" s="89"/>
      <c r="B117" s="69"/>
      <c r="C117" s="135"/>
      <c r="D117" s="92" t="b">
        <v>0</v>
      </c>
      <c r="E117" s="91"/>
      <c r="F117" s="70"/>
    </row>
    <row r="118">
      <c r="A118" s="89"/>
      <c r="B118" s="69"/>
      <c r="C118" s="135"/>
      <c r="D118" s="92" t="b">
        <v>0</v>
      </c>
      <c r="E118" s="91"/>
      <c r="F118" s="70"/>
    </row>
    <row r="119">
      <c r="A119" s="89"/>
      <c r="B119" s="69"/>
      <c r="C119" s="135"/>
      <c r="D119" s="92" t="b">
        <v>0</v>
      </c>
      <c r="E119" s="91"/>
      <c r="F119" s="70"/>
    </row>
    <row r="120">
      <c r="A120" s="89"/>
      <c r="B120" s="69"/>
      <c r="C120" s="135"/>
      <c r="D120" s="92" t="b">
        <v>0</v>
      </c>
      <c r="E120" s="91"/>
      <c r="F120" s="70"/>
    </row>
    <row r="121">
      <c r="A121" s="89"/>
      <c r="B121" s="69"/>
      <c r="C121" s="135"/>
      <c r="D121" s="92" t="b">
        <v>0</v>
      </c>
      <c r="E121" s="91"/>
      <c r="F121" s="70"/>
    </row>
    <row r="122">
      <c r="A122" s="89"/>
      <c r="B122" s="69"/>
      <c r="C122" s="134"/>
      <c r="D122" s="92" t="b">
        <v>0</v>
      </c>
      <c r="E122" s="91"/>
      <c r="F122" s="70"/>
    </row>
    <row r="123">
      <c r="A123" s="89"/>
      <c r="B123" s="69"/>
      <c r="C123" s="135"/>
      <c r="D123" s="92" t="b">
        <v>0</v>
      </c>
      <c r="E123" s="91"/>
      <c r="F123" s="70"/>
    </row>
    <row r="124">
      <c r="A124" s="89"/>
      <c r="B124" s="69"/>
      <c r="C124" s="135"/>
      <c r="D124" s="92" t="b">
        <v>0</v>
      </c>
      <c r="E124" s="91"/>
      <c r="F124" s="70"/>
    </row>
    <row r="125">
      <c r="A125" s="89"/>
      <c r="B125" s="69"/>
      <c r="C125" s="135"/>
      <c r="D125" s="92" t="b">
        <v>0</v>
      </c>
      <c r="E125" s="91"/>
      <c r="F125" s="70"/>
    </row>
    <row r="126">
      <c r="A126" s="89"/>
      <c r="B126" s="69"/>
      <c r="C126" s="135"/>
      <c r="D126" s="92" t="b">
        <v>0</v>
      </c>
      <c r="E126" s="91"/>
      <c r="F126" s="70"/>
    </row>
    <row r="127">
      <c r="A127" s="89"/>
      <c r="B127" s="69"/>
      <c r="C127" s="135"/>
      <c r="D127" s="92" t="b">
        <v>0</v>
      </c>
      <c r="E127" s="91"/>
      <c r="F127" s="70"/>
    </row>
    <row r="128">
      <c r="A128" s="89"/>
      <c r="B128" s="69"/>
      <c r="C128" s="134"/>
      <c r="D128" s="92" t="b">
        <v>0</v>
      </c>
      <c r="E128" s="91"/>
      <c r="F128" s="70"/>
    </row>
    <row r="129">
      <c r="A129" s="89"/>
      <c r="B129" s="69"/>
      <c r="C129" s="135"/>
      <c r="D129" s="92" t="b">
        <v>0</v>
      </c>
      <c r="E129" s="91"/>
      <c r="F129" s="70"/>
    </row>
    <row r="130">
      <c r="A130" s="89"/>
      <c r="B130" s="69"/>
      <c r="C130" s="135"/>
      <c r="D130" s="92" t="b">
        <v>0</v>
      </c>
      <c r="E130" s="91"/>
      <c r="F130" s="70"/>
    </row>
    <row r="131">
      <c r="A131" s="89"/>
      <c r="B131" s="69"/>
      <c r="C131" s="135"/>
      <c r="D131" s="92" t="b">
        <v>0</v>
      </c>
      <c r="E131" s="91"/>
      <c r="F131" s="70"/>
    </row>
    <row r="132">
      <c r="A132" s="89"/>
      <c r="B132" s="69"/>
      <c r="C132" s="135"/>
      <c r="D132" s="92" t="b">
        <v>0</v>
      </c>
      <c r="E132" s="91"/>
      <c r="F132" s="70"/>
    </row>
    <row r="133">
      <c r="A133" s="89"/>
      <c r="B133" s="69"/>
      <c r="C133" s="135"/>
      <c r="D133" s="92" t="b">
        <v>0</v>
      </c>
      <c r="E133" s="91"/>
      <c r="F133" s="70"/>
    </row>
    <row r="134">
      <c r="A134" s="89"/>
      <c r="B134" s="69"/>
      <c r="C134" s="134"/>
      <c r="D134" s="92" t="b">
        <v>0</v>
      </c>
      <c r="E134" s="91"/>
      <c r="F134" s="70"/>
    </row>
    <row r="135">
      <c r="A135" s="89"/>
      <c r="B135" s="69"/>
      <c r="C135" s="135"/>
      <c r="D135" s="92" t="b">
        <v>0</v>
      </c>
      <c r="E135" s="91"/>
      <c r="F135" s="70"/>
    </row>
    <row r="136">
      <c r="A136" s="89"/>
      <c r="B136" s="69"/>
      <c r="C136" s="135"/>
      <c r="D136" s="92" t="b">
        <v>0</v>
      </c>
      <c r="E136" s="91"/>
      <c r="F136" s="70"/>
    </row>
    <row r="137">
      <c r="A137" s="89"/>
      <c r="B137" s="69"/>
      <c r="C137" s="135"/>
      <c r="D137" s="92" t="b">
        <v>0</v>
      </c>
      <c r="E137" s="91"/>
      <c r="F137" s="70"/>
    </row>
    <row r="138">
      <c r="A138" s="89"/>
      <c r="B138" s="69"/>
      <c r="C138" s="135"/>
      <c r="D138" s="92" t="b">
        <v>0</v>
      </c>
      <c r="E138" s="91"/>
      <c r="F138" s="70"/>
    </row>
    <row r="139">
      <c r="A139" s="89"/>
      <c r="B139" s="69"/>
      <c r="C139" s="135"/>
      <c r="D139" s="92" t="b">
        <v>0</v>
      </c>
      <c r="E139" s="91"/>
      <c r="F139" s="70"/>
    </row>
    <row r="140">
      <c r="A140" s="89"/>
      <c r="B140" s="69"/>
      <c r="C140" s="134"/>
      <c r="D140" s="92" t="b">
        <v>0</v>
      </c>
      <c r="E140" s="91"/>
      <c r="F140" s="70"/>
    </row>
    <row r="141">
      <c r="A141" s="89"/>
      <c r="B141" s="69"/>
      <c r="C141" s="135"/>
      <c r="D141" s="92" t="b">
        <v>0</v>
      </c>
      <c r="E141" s="91"/>
      <c r="F141" s="70"/>
    </row>
    <row r="142">
      <c r="A142" s="89"/>
      <c r="B142" s="69"/>
      <c r="C142" s="135"/>
      <c r="D142" s="92" t="b">
        <v>0</v>
      </c>
      <c r="E142" s="91"/>
      <c r="F142" s="70"/>
    </row>
    <row r="143">
      <c r="A143" s="89"/>
      <c r="B143" s="69"/>
      <c r="C143" s="135"/>
      <c r="D143" s="92" t="b">
        <v>0</v>
      </c>
      <c r="E143" s="91"/>
      <c r="F143" s="70"/>
    </row>
    <row r="144">
      <c r="A144" s="89"/>
      <c r="B144" s="69"/>
      <c r="C144" s="135"/>
      <c r="D144" s="92" t="b">
        <v>0</v>
      </c>
      <c r="E144" s="91"/>
      <c r="F144" s="70"/>
    </row>
    <row r="145">
      <c r="A145" s="89"/>
      <c r="B145" s="69"/>
      <c r="C145" s="135"/>
      <c r="D145" s="92" t="b">
        <v>0</v>
      </c>
      <c r="E145" s="91"/>
      <c r="F145" s="70"/>
    </row>
    <row r="146">
      <c r="A146" s="89"/>
      <c r="B146" s="69"/>
      <c r="C146" s="134"/>
      <c r="D146" s="92" t="b">
        <v>0</v>
      </c>
      <c r="E146" s="91"/>
      <c r="F146" s="70"/>
    </row>
    <row r="147">
      <c r="A147" s="89"/>
      <c r="B147" s="69"/>
      <c r="C147" s="135"/>
      <c r="D147" s="92" t="b">
        <v>0</v>
      </c>
      <c r="E147" s="91"/>
      <c r="F147" s="70"/>
    </row>
    <row r="148">
      <c r="A148" s="89"/>
      <c r="B148" s="69"/>
      <c r="C148" s="135"/>
      <c r="D148" s="92" t="b">
        <v>0</v>
      </c>
      <c r="E148" s="91"/>
      <c r="F148" s="70"/>
    </row>
  </sheetData>
  <customSheetViews>
    <customSheetView guid="{E45215E9-CFD8-4C81-8218-503541622618}" filter="1" showAutoFilter="1">
      <autoFilter ref="$A$1:$E$148"/>
    </customSheetView>
    <customSheetView guid="{DF2F70C7-8866-48E0-951D-0637A9BFC8E6}" filter="1" showAutoFilter="1">
      <autoFilter ref="$A$1:$E$148"/>
    </customSheetView>
    <customSheetView guid="{EFFCC731-4C38-4EFC-9B3F-E71CC35B304D}" filter="1" showAutoFilter="1">
      <autoFilter ref="$A$1:$E$148"/>
    </customSheetView>
  </customSheetViews>
  <conditionalFormatting sqref="C2:C148">
    <cfRule type="expression" dxfId="2" priority="1">
      <formula>$L2="Rechazado por QA"</formula>
    </cfRule>
  </conditionalFormatting>
  <conditionalFormatting sqref="C2:C148">
    <cfRule type="expression" dxfId="3" priority="2">
      <formula>$G2="Validado"</formula>
    </cfRule>
  </conditionalFormatting>
  <conditionalFormatting sqref="C2:C148">
    <cfRule type="expression" dxfId="4" priority="3">
      <formula>$G2="Corregido"</formula>
    </cfRule>
  </conditionalFormatting>
  <conditionalFormatting sqref="C2:C148">
    <cfRule type="expression" dxfId="5" priority="4">
      <formula>$G2="Postergado"</formula>
    </cfRule>
  </conditionalFormatting>
  <conditionalFormatting sqref="C2:C148">
    <cfRule type="expression" dxfId="5" priority="5">
      <formula>$G2="No procede"</formula>
    </cfRule>
  </conditionalFormatting>
  <dataValidations>
    <dataValidation type="list" allowBlank="1" showErrorMessage="1" sqref="E2">
      <formula1>"Ok,Observado"</formula1>
    </dataValidation>
    <dataValidation type="custom" allowBlank="1" showDropDown="1" sqref="C1:C148">
      <formula1>OR(NOT(ISERROR(DATEVALUE(C1))), AND(ISNUMBER(C1), LEFT(CELL("format", C1))="D"))</formula1>
    </dataValidation>
    <dataValidation type="list" allowBlank="1" showErrorMessage="1" sqref="E3:E148">
      <formula1>"Ok,Observación"</formula1>
    </dataValidation>
    <dataValidation type="list" allowBlank="1" showErrorMessage="1" sqref="A2:A148">
      <formula1>"Logística,Configuración,Punto de venta"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6.75"/>
    <col customWidth="1" min="3" max="3" width="67.5"/>
    <col customWidth="1" min="4" max="4" width="23.25"/>
    <col customWidth="1" min="6" max="6" width="23.25"/>
    <col customWidth="1" min="8" max="8" width="50.25"/>
  </cols>
  <sheetData>
    <row r="1" ht="38.25" customHeight="1">
      <c r="A1" s="163"/>
      <c r="B1" s="164" t="s">
        <v>128</v>
      </c>
      <c r="D1" s="165" t="s">
        <v>129</v>
      </c>
      <c r="E1" s="165" t="s">
        <v>130</v>
      </c>
      <c r="F1" s="165" t="s">
        <v>129</v>
      </c>
      <c r="G1" s="165" t="s">
        <v>131</v>
      </c>
      <c r="H1" s="166" t="s">
        <v>52</v>
      </c>
    </row>
    <row r="2">
      <c r="A2" s="167"/>
      <c r="B2" s="168" t="s">
        <v>132</v>
      </c>
      <c r="C2" s="168" t="s">
        <v>133</v>
      </c>
      <c r="D2" s="169"/>
      <c r="E2" s="170" t="b">
        <v>0</v>
      </c>
      <c r="F2" s="169"/>
      <c r="G2" s="170" t="b">
        <v>0</v>
      </c>
      <c r="H2" s="4"/>
    </row>
    <row r="3">
      <c r="A3" s="167"/>
      <c r="B3" s="168" t="s">
        <v>134</v>
      </c>
      <c r="C3" s="171" t="s">
        <v>135</v>
      </c>
      <c r="D3" s="169"/>
      <c r="E3" s="170" t="b">
        <v>0</v>
      </c>
      <c r="F3" s="169"/>
      <c r="G3" s="170" t="b">
        <v>0</v>
      </c>
      <c r="H3" s="4"/>
    </row>
    <row r="4">
      <c r="A4" s="167"/>
      <c r="B4" s="168" t="s">
        <v>136</v>
      </c>
      <c r="C4" s="171" t="s">
        <v>137</v>
      </c>
      <c r="D4" s="169"/>
      <c r="E4" s="170" t="b">
        <v>0</v>
      </c>
      <c r="F4" s="169"/>
      <c r="G4" s="170" t="b">
        <v>0</v>
      </c>
      <c r="H4" s="4"/>
    </row>
    <row r="5">
      <c r="A5" s="167"/>
      <c r="B5" s="171" t="s">
        <v>138</v>
      </c>
      <c r="C5" s="171" t="s">
        <v>139</v>
      </c>
      <c r="D5" s="169"/>
      <c r="E5" s="170" t="b">
        <v>0</v>
      </c>
      <c r="F5" s="169"/>
      <c r="G5" s="170" t="b">
        <v>0</v>
      </c>
      <c r="H5" s="4"/>
    </row>
    <row r="6">
      <c r="A6" s="167"/>
      <c r="B6" s="171" t="s">
        <v>140</v>
      </c>
      <c r="C6" s="171" t="s">
        <v>141</v>
      </c>
      <c r="D6" s="169"/>
      <c r="E6" s="170" t="b">
        <v>0</v>
      </c>
      <c r="F6" s="169"/>
      <c r="G6" s="170" t="b">
        <v>0</v>
      </c>
      <c r="H6" s="4"/>
    </row>
    <row r="7">
      <c r="A7" s="167"/>
      <c r="B7" s="171" t="s">
        <v>142</v>
      </c>
      <c r="C7" s="171" t="s">
        <v>143</v>
      </c>
      <c r="D7" s="169"/>
      <c r="E7" s="170" t="b">
        <v>0</v>
      </c>
      <c r="F7" s="169"/>
      <c r="G7" s="170" t="b">
        <v>0</v>
      </c>
      <c r="H7" s="4"/>
    </row>
    <row r="8">
      <c r="A8" s="167"/>
      <c r="B8" s="171" t="s">
        <v>144</v>
      </c>
      <c r="C8" s="171" t="s">
        <v>145</v>
      </c>
      <c r="D8" s="169"/>
      <c r="E8" s="170" t="b">
        <v>0</v>
      </c>
      <c r="F8" s="169"/>
      <c r="G8" s="170" t="b">
        <v>0</v>
      </c>
      <c r="H8" s="4"/>
    </row>
    <row r="9">
      <c r="A9" s="167"/>
      <c r="B9" s="171" t="s">
        <v>146</v>
      </c>
      <c r="C9" s="171" t="s">
        <v>147</v>
      </c>
      <c r="D9" s="169"/>
      <c r="E9" s="170" t="b">
        <v>0</v>
      </c>
      <c r="F9" s="169"/>
      <c r="G9" s="170" t="b">
        <v>0</v>
      </c>
      <c r="H9" s="4"/>
    </row>
    <row r="10">
      <c r="A10" s="163"/>
      <c r="B10" s="164" t="s">
        <v>148</v>
      </c>
      <c r="D10" s="172"/>
      <c r="E10" s="172"/>
      <c r="F10" s="172"/>
      <c r="G10" s="163"/>
      <c r="H10" s="172"/>
    </row>
    <row r="11">
      <c r="A11" s="167"/>
      <c r="B11" s="168" t="s">
        <v>149</v>
      </c>
      <c r="C11" s="168" t="s">
        <v>150</v>
      </c>
      <c r="D11" s="169"/>
      <c r="E11" s="170" t="b">
        <v>0</v>
      </c>
      <c r="F11" s="169"/>
      <c r="G11" s="170" t="b">
        <v>0</v>
      </c>
      <c r="H11" s="4"/>
    </row>
    <row r="12">
      <c r="A12" s="167"/>
      <c r="B12" s="168" t="s">
        <v>151</v>
      </c>
      <c r="C12" s="168" t="s">
        <v>152</v>
      </c>
      <c r="D12" s="169"/>
      <c r="E12" s="170" t="b">
        <v>0</v>
      </c>
      <c r="F12" s="169"/>
      <c r="G12" s="170" t="b">
        <v>0</v>
      </c>
      <c r="H12" s="4"/>
    </row>
    <row r="13">
      <c r="A13" s="167"/>
      <c r="B13" s="171" t="s">
        <v>153</v>
      </c>
      <c r="C13" s="171" t="s">
        <v>154</v>
      </c>
      <c r="D13" s="169"/>
      <c r="E13" s="170" t="b">
        <v>0</v>
      </c>
      <c r="F13" s="169"/>
      <c r="G13" s="170" t="b">
        <v>0</v>
      </c>
      <c r="H13" s="4"/>
    </row>
    <row r="14">
      <c r="A14" s="167"/>
      <c r="B14" s="171" t="s">
        <v>155</v>
      </c>
      <c r="C14" s="171" t="s">
        <v>156</v>
      </c>
      <c r="D14" s="169"/>
      <c r="E14" s="170" t="b">
        <v>0</v>
      </c>
      <c r="F14" s="169"/>
      <c r="G14" s="170" t="b">
        <v>0</v>
      </c>
      <c r="H14" s="4"/>
    </row>
    <row r="15">
      <c r="A15" s="167"/>
      <c r="B15" s="171" t="s">
        <v>157</v>
      </c>
      <c r="C15" s="171" t="s">
        <v>158</v>
      </c>
      <c r="D15" s="169"/>
      <c r="E15" s="170" t="b">
        <v>0</v>
      </c>
      <c r="F15" s="169"/>
      <c r="G15" s="170" t="b">
        <v>0</v>
      </c>
      <c r="H15" s="4"/>
    </row>
    <row r="16">
      <c r="A16" s="167"/>
      <c r="B16" s="171" t="s">
        <v>159</v>
      </c>
      <c r="C16" s="171" t="s">
        <v>160</v>
      </c>
      <c r="D16" s="169"/>
      <c r="E16" s="170" t="b">
        <v>0</v>
      </c>
      <c r="F16" s="169"/>
      <c r="G16" s="170" t="b">
        <v>0</v>
      </c>
      <c r="H16" s="4"/>
    </row>
    <row r="17">
      <c r="A17" s="167"/>
      <c r="B17" s="171" t="s">
        <v>161</v>
      </c>
      <c r="C17" s="173" t="s">
        <v>162</v>
      </c>
      <c r="D17" s="169"/>
      <c r="E17" s="170" t="b">
        <v>0</v>
      </c>
      <c r="F17" s="169"/>
      <c r="G17" s="170" t="b">
        <v>0</v>
      </c>
      <c r="H17" s="4"/>
    </row>
    <row r="18">
      <c r="A18" s="167"/>
      <c r="B18" s="171" t="s">
        <v>163</v>
      </c>
      <c r="C18" s="173" t="s">
        <v>162</v>
      </c>
      <c r="D18" s="169"/>
      <c r="E18" s="170" t="b">
        <v>0</v>
      </c>
      <c r="F18" s="169"/>
      <c r="G18" s="170" t="b">
        <v>0</v>
      </c>
      <c r="H18" s="4"/>
    </row>
    <row r="19">
      <c r="A19" s="167"/>
      <c r="B19" s="171" t="s">
        <v>164</v>
      </c>
      <c r="C19" s="174" t="s">
        <v>165</v>
      </c>
      <c r="D19" s="169"/>
      <c r="E19" s="170" t="b">
        <v>0</v>
      </c>
      <c r="F19" s="169"/>
      <c r="G19" s="170" t="b">
        <v>0</v>
      </c>
      <c r="H19" s="4"/>
    </row>
    <row r="20">
      <c r="A20" s="167"/>
      <c r="B20" s="168" t="s">
        <v>166</v>
      </c>
      <c r="C20" s="173" t="s">
        <v>167</v>
      </c>
      <c r="D20" s="169"/>
      <c r="E20" s="170" t="b">
        <v>0</v>
      </c>
      <c r="F20" s="169"/>
      <c r="G20" s="170" t="b">
        <v>0</v>
      </c>
      <c r="H20" s="4"/>
    </row>
    <row r="21">
      <c r="A21" s="167"/>
      <c r="B21" s="171" t="s">
        <v>168</v>
      </c>
      <c r="C21" s="173" t="s">
        <v>169</v>
      </c>
      <c r="D21" s="169"/>
      <c r="E21" s="170" t="b">
        <v>0</v>
      </c>
      <c r="F21" s="169"/>
      <c r="G21" s="170" t="b">
        <v>0</v>
      </c>
      <c r="H21" s="4"/>
    </row>
    <row r="22">
      <c r="A22" s="167"/>
      <c r="B22" s="168" t="s">
        <v>170</v>
      </c>
      <c r="C22" s="168" t="s">
        <v>171</v>
      </c>
      <c r="D22" s="4"/>
      <c r="E22" s="175" t="b">
        <v>0</v>
      </c>
      <c r="F22" s="4"/>
      <c r="G22" s="175" t="b">
        <v>0</v>
      </c>
      <c r="H22" s="4"/>
    </row>
    <row r="23">
      <c r="A23" s="167"/>
      <c r="B23" s="168" t="s">
        <v>172</v>
      </c>
      <c r="C23" s="168" t="s">
        <v>173</v>
      </c>
      <c r="D23" s="4"/>
      <c r="E23" s="175" t="b">
        <v>0</v>
      </c>
      <c r="F23" s="4"/>
      <c r="G23" s="175" t="b">
        <v>0</v>
      </c>
      <c r="H23" s="4"/>
    </row>
    <row r="24">
      <c r="A24" s="163"/>
      <c r="B24" s="164" t="s">
        <v>174</v>
      </c>
      <c r="D24" s="172"/>
      <c r="E24" s="163"/>
      <c r="F24" s="172"/>
      <c r="G24" s="163"/>
      <c r="H24" s="172"/>
    </row>
    <row r="25">
      <c r="A25" s="167"/>
      <c r="B25" s="168" t="s">
        <v>175</v>
      </c>
      <c r="C25" s="168" t="s">
        <v>176</v>
      </c>
      <c r="D25" s="169"/>
      <c r="E25" s="170" t="b">
        <v>0</v>
      </c>
      <c r="F25" s="169"/>
      <c r="G25" s="170" t="b">
        <v>0</v>
      </c>
      <c r="H25" s="4"/>
    </row>
    <row r="26">
      <c r="A26" s="167"/>
      <c r="B26" s="168" t="s">
        <v>177</v>
      </c>
      <c r="C26" s="168" t="s">
        <v>178</v>
      </c>
      <c r="D26" s="169"/>
      <c r="E26" s="170" t="b">
        <v>0</v>
      </c>
      <c r="F26" s="169"/>
      <c r="G26" s="170" t="b">
        <v>0</v>
      </c>
      <c r="H26" s="4"/>
    </row>
    <row r="27">
      <c r="A27" s="163"/>
      <c r="B27" s="164" t="s">
        <v>179</v>
      </c>
      <c r="D27" s="172"/>
      <c r="E27" s="172"/>
      <c r="F27" s="172"/>
      <c r="G27" s="172"/>
      <c r="H27" s="172"/>
    </row>
    <row r="28">
      <c r="A28" s="167"/>
      <c r="B28" s="168" t="s">
        <v>180</v>
      </c>
      <c r="C28" s="176" t="s">
        <v>181</v>
      </c>
      <c r="D28" s="169"/>
      <c r="E28" s="170" t="b">
        <v>0</v>
      </c>
      <c r="F28" s="169"/>
      <c r="G28" s="170" t="b">
        <v>0</v>
      </c>
      <c r="H28" s="4"/>
    </row>
    <row r="29">
      <c r="A29" s="163"/>
      <c r="B29" s="177" t="s">
        <v>182</v>
      </c>
      <c r="D29" s="178"/>
      <c r="E29" s="179"/>
      <c r="F29" s="178"/>
      <c r="G29" s="179"/>
      <c r="H29" s="172"/>
    </row>
    <row r="30">
      <c r="A30" s="180"/>
      <c r="B30" s="171" t="s">
        <v>183</v>
      </c>
      <c r="C30" s="171" t="s">
        <v>184</v>
      </c>
      <c r="D30" s="169"/>
      <c r="E30" s="170" t="b">
        <v>0</v>
      </c>
      <c r="F30" s="169"/>
      <c r="G30" s="170" t="b">
        <v>0</v>
      </c>
      <c r="H30" s="4"/>
    </row>
    <row r="31">
      <c r="A31" s="167"/>
      <c r="B31" s="171" t="s">
        <v>185</v>
      </c>
      <c r="C31" s="174" t="s">
        <v>186</v>
      </c>
      <c r="D31" s="169"/>
      <c r="E31" s="170" t="b">
        <v>0</v>
      </c>
      <c r="F31" s="169"/>
      <c r="G31" s="170" t="b">
        <v>0</v>
      </c>
      <c r="H31" s="4"/>
    </row>
    <row r="32">
      <c r="A32" s="167"/>
      <c r="B32" s="171" t="s">
        <v>187</v>
      </c>
      <c r="C32" s="174" t="s">
        <v>188</v>
      </c>
      <c r="D32" s="169"/>
      <c r="E32" s="170" t="b">
        <v>0</v>
      </c>
      <c r="F32" s="169"/>
      <c r="G32" s="170" t="b">
        <v>0</v>
      </c>
      <c r="H32" s="4"/>
    </row>
    <row r="33">
      <c r="A33" s="163"/>
      <c r="B33" s="177" t="s">
        <v>189</v>
      </c>
      <c r="D33" s="172"/>
      <c r="E33" s="172"/>
      <c r="F33" s="172"/>
      <c r="G33" s="172"/>
      <c r="H33" s="172"/>
    </row>
    <row r="34">
      <c r="A34" s="167"/>
      <c r="B34" s="171" t="s">
        <v>190</v>
      </c>
      <c r="C34" s="174" t="s">
        <v>191</v>
      </c>
      <c r="D34" s="169"/>
      <c r="E34" s="170" t="b">
        <v>0</v>
      </c>
      <c r="F34" s="169"/>
      <c r="G34" s="170" t="b">
        <v>0</v>
      </c>
      <c r="H34" s="4"/>
    </row>
    <row r="35">
      <c r="A35" s="163"/>
      <c r="B35" s="177" t="s">
        <v>192</v>
      </c>
      <c r="D35" s="172"/>
      <c r="E35" s="172"/>
      <c r="F35" s="172"/>
      <c r="G35" s="172"/>
      <c r="H35" s="172"/>
    </row>
    <row r="36">
      <c r="A36" s="167"/>
      <c r="B36" s="171" t="s">
        <v>193</v>
      </c>
      <c r="C36" s="174" t="s">
        <v>194</v>
      </c>
      <c r="D36" s="169"/>
      <c r="E36" s="170" t="b">
        <v>0</v>
      </c>
      <c r="F36" s="169"/>
      <c r="G36" s="170" t="b">
        <v>0</v>
      </c>
      <c r="H36" s="4"/>
    </row>
    <row r="37">
      <c r="A37" s="167"/>
      <c r="B37" s="171" t="s">
        <v>195</v>
      </c>
      <c r="C37" s="174" t="s">
        <v>196</v>
      </c>
      <c r="D37" s="4"/>
      <c r="E37" s="181" t="b">
        <v>0</v>
      </c>
      <c r="F37" s="4"/>
      <c r="G37" s="181" t="b">
        <v>0</v>
      </c>
      <c r="H37" s="4"/>
    </row>
    <row r="38">
      <c r="A38" s="163"/>
      <c r="B38" s="164" t="s">
        <v>197</v>
      </c>
      <c r="D38" s="172"/>
      <c r="E38" s="172"/>
      <c r="F38" s="172"/>
      <c r="G38" s="172"/>
      <c r="H38" s="172"/>
    </row>
    <row r="39">
      <c r="A39" s="167"/>
      <c r="B39" s="168" t="s">
        <v>198</v>
      </c>
      <c r="C39" s="173" t="s">
        <v>199</v>
      </c>
      <c r="D39" s="4"/>
      <c r="E39" s="181" t="b">
        <v>0</v>
      </c>
      <c r="F39" s="4"/>
      <c r="G39" s="181" t="b">
        <v>0</v>
      </c>
      <c r="H39" s="4"/>
    </row>
    <row r="40">
      <c r="A40" s="163"/>
      <c r="B40" s="164" t="s">
        <v>200</v>
      </c>
      <c r="D40" s="172"/>
      <c r="E40" s="172"/>
      <c r="F40" s="172"/>
      <c r="G40" s="172"/>
      <c r="H40" s="172"/>
    </row>
    <row r="41">
      <c r="A41" s="167"/>
      <c r="B41" s="168" t="s">
        <v>201</v>
      </c>
      <c r="C41" s="176" t="s">
        <v>202</v>
      </c>
      <c r="D41" s="169"/>
      <c r="E41" s="170" t="b">
        <v>0</v>
      </c>
      <c r="F41" s="169"/>
      <c r="G41" s="170" t="b">
        <v>0</v>
      </c>
      <c r="H41" s="4"/>
    </row>
    <row r="42">
      <c r="A42" s="167"/>
      <c r="B42" s="171" t="s">
        <v>203</v>
      </c>
      <c r="C42" s="174" t="s">
        <v>204</v>
      </c>
      <c r="D42" s="169"/>
      <c r="E42" s="170" t="b">
        <v>0</v>
      </c>
      <c r="F42" s="169"/>
      <c r="G42" s="170" t="b">
        <v>0</v>
      </c>
      <c r="H42" s="4"/>
    </row>
    <row r="43">
      <c r="A43" s="167"/>
      <c r="B43" s="171" t="s">
        <v>205</v>
      </c>
      <c r="C43" s="174" t="s">
        <v>204</v>
      </c>
      <c r="D43" s="169"/>
      <c r="E43" s="170" t="b">
        <v>0</v>
      </c>
      <c r="F43" s="169"/>
      <c r="G43" s="170" t="b">
        <v>0</v>
      </c>
      <c r="H43" s="4"/>
    </row>
    <row r="44">
      <c r="A44" s="167"/>
      <c r="B44" s="171" t="s">
        <v>206</v>
      </c>
      <c r="C44" s="174" t="s">
        <v>207</v>
      </c>
      <c r="D44" s="169"/>
      <c r="E44" s="170" t="b">
        <v>0</v>
      </c>
      <c r="F44" s="169"/>
      <c r="G44" s="170" t="b">
        <v>0</v>
      </c>
      <c r="H44" s="4"/>
    </row>
    <row r="45">
      <c r="A45" s="163"/>
      <c r="B45" s="177" t="s">
        <v>208</v>
      </c>
      <c r="D45" s="172"/>
      <c r="E45" s="172"/>
      <c r="F45" s="172"/>
      <c r="G45" s="172"/>
      <c r="H45" s="172"/>
    </row>
    <row r="46">
      <c r="A46" s="4"/>
      <c r="B46" s="171" t="s">
        <v>209</v>
      </c>
      <c r="C46" s="174" t="s">
        <v>210</v>
      </c>
      <c r="D46" s="169"/>
      <c r="E46" s="170" t="b">
        <v>0</v>
      </c>
      <c r="F46" s="169"/>
      <c r="G46" s="170" t="b">
        <v>0</v>
      </c>
      <c r="H46" s="4"/>
    </row>
    <row r="47">
      <c r="A47" s="4"/>
      <c r="B47" s="171" t="s">
        <v>211</v>
      </c>
      <c r="C47" s="174" t="s">
        <v>212</v>
      </c>
      <c r="D47" s="169"/>
      <c r="E47" s="170" t="b">
        <v>0</v>
      </c>
      <c r="F47" s="169"/>
      <c r="G47" s="170" t="b">
        <v>0</v>
      </c>
      <c r="H47" s="4"/>
    </row>
    <row r="48">
      <c r="A48" s="4"/>
      <c r="B48" s="171" t="s">
        <v>213</v>
      </c>
      <c r="C48" s="174" t="s">
        <v>214</v>
      </c>
      <c r="D48" s="169"/>
      <c r="E48" s="170" t="b">
        <v>0</v>
      </c>
      <c r="F48" s="169"/>
      <c r="G48" s="170" t="b">
        <v>0</v>
      </c>
      <c r="H48" s="4"/>
    </row>
    <row r="49">
      <c r="A49" s="4"/>
      <c r="B49" s="171" t="s">
        <v>215</v>
      </c>
      <c r="C49" s="174" t="s">
        <v>216</v>
      </c>
      <c r="D49" s="169"/>
      <c r="E49" s="170" t="b">
        <v>0</v>
      </c>
      <c r="F49" s="169"/>
      <c r="G49" s="170" t="b">
        <v>0</v>
      </c>
      <c r="H49" s="4"/>
    </row>
    <row r="50">
      <c r="A50" s="4"/>
      <c r="B50" s="168" t="s">
        <v>217</v>
      </c>
      <c r="C50" s="174" t="s">
        <v>218</v>
      </c>
      <c r="D50" s="169"/>
      <c r="E50" s="170" t="b">
        <v>0</v>
      </c>
      <c r="F50" s="169"/>
      <c r="G50" s="170" t="b">
        <v>0</v>
      </c>
      <c r="H50" s="4"/>
    </row>
    <row r="51">
      <c r="A51" s="4"/>
      <c r="B51" s="171" t="s">
        <v>219</v>
      </c>
      <c r="C51" s="174" t="s">
        <v>220</v>
      </c>
      <c r="D51" s="169"/>
      <c r="E51" s="170" t="b">
        <v>0</v>
      </c>
      <c r="F51" s="169"/>
      <c r="G51" s="170" t="b">
        <v>0</v>
      </c>
      <c r="H51" s="4"/>
    </row>
    <row r="52">
      <c r="A52" s="4"/>
      <c r="B52" s="168" t="s">
        <v>221</v>
      </c>
      <c r="C52" s="173" t="s">
        <v>222</v>
      </c>
      <c r="D52" s="169"/>
      <c r="E52" s="170" t="b">
        <v>0</v>
      </c>
      <c r="F52" s="169"/>
      <c r="G52" s="170" t="b">
        <v>0</v>
      </c>
      <c r="H52" s="4"/>
    </row>
    <row r="53">
      <c r="A53" s="4"/>
      <c r="B53" s="171" t="s">
        <v>223</v>
      </c>
      <c r="C53" s="174" t="s">
        <v>224</v>
      </c>
      <c r="D53" s="169"/>
      <c r="E53" s="170" t="b">
        <v>0</v>
      </c>
      <c r="F53" s="169"/>
      <c r="G53" s="170" t="b">
        <v>0</v>
      </c>
      <c r="H53" s="4"/>
    </row>
    <row r="54">
      <c r="A54" s="4"/>
      <c r="B54" s="171" t="s">
        <v>225</v>
      </c>
      <c r="C54" s="174" t="s">
        <v>226</v>
      </c>
      <c r="D54" s="169"/>
      <c r="E54" s="170" t="b">
        <v>0</v>
      </c>
      <c r="F54" s="169"/>
      <c r="G54" s="170" t="b">
        <v>0</v>
      </c>
      <c r="H54" s="4"/>
    </row>
    <row r="55">
      <c r="A55" s="4"/>
      <c r="B55" s="171" t="s">
        <v>227</v>
      </c>
      <c r="C55" s="174" t="s">
        <v>228</v>
      </c>
      <c r="D55" s="169"/>
      <c r="E55" s="170" t="b">
        <v>0</v>
      </c>
      <c r="F55" s="169"/>
      <c r="G55" s="170" t="b">
        <v>0</v>
      </c>
      <c r="H55" s="4"/>
    </row>
    <row r="56">
      <c r="A56" s="4"/>
      <c r="B56" s="171" t="s">
        <v>229</v>
      </c>
      <c r="C56" s="171" t="s">
        <v>230</v>
      </c>
      <c r="D56" s="169"/>
      <c r="E56" s="170" t="b">
        <v>0</v>
      </c>
      <c r="F56" s="169"/>
      <c r="G56" s="170" t="b">
        <v>0</v>
      </c>
      <c r="H56" s="4"/>
    </row>
    <row r="57">
      <c r="A57" s="4"/>
      <c r="B57" s="171" t="s">
        <v>231</v>
      </c>
      <c r="C57" s="171" t="s">
        <v>232</v>
      </c>
      <c r="D57" s="169"/>
      <c r="E57" s="170" t="b">
        <v>0</v>
      </c>
      <c r="F57" s="169"/>
      <c r="G57" s="170" t="b">
        <v>0</v>
      </c>
      <c r="H57" s="4"/>
    </row>
    <row r="58">
      <c r="A58" s="4"/>
      <c r="B58" s="171" t="s">
        <v>233</v>
      </c>
      <c r="C58" s="171" t="s">
        <v>234</v>
      </c>
      <c r="D58" s="169"/>
      <c r="E58" s="170" t="b">
        <v>0</v>
      </c>
      <c r="F58" s="169"/>
      <c r="G58" s="170" t="b">
        <v>0</v>
      </c>
      <c r="H58" s="4"/>
    </row>
    <row r="59">
      <c r="A59" s="4"/>
      <c r="B59" s="171" t="s">
        <v>235</v>
      </c>
      <c r="C59" s="171" t="s">
        <v>236</v>
      </c>
      <c r="D59" s="169"/>
      <c r="E59" s="170" t="b">
        <v>0</v>
      </c>
      <c r="F59" s="169"/>
      <c r="G59" s="170" t="b">
        <v>0</v>
      </c>
      <c r="H59" s="4"/>
    </row>
    <row r="60">
      <c r="A60" s="4"/>
      <c r="B60" s="171" t="s">
        <v>237</v>
      </c>
      <c r="C60" s="171" t="s">
        <v>238</v>
      </c>
      <c r="D60" s="169"/>
      <c r="E60" s="170" t="b">
        <v>0</v>
      </c>
      <c r="F60" s="169"/>
      <c r="G60" s="170" t="b">
        <v>0</v>
      </c>
      <c r="H60" s="4"/>
    </row>
    <row r="61">
      <c r="A61" s="163"/>
      <c r="B61" s="177" t="s">
        <v>239</v>
      </c>
      <c r="D61" s="172"/>
      <c r="E61" s="172"/>
      <c r="F61" s="172"/>
      <c r="G61" s="172"/>
      <c r="H61" s="172"/>
    </row>
    <row r="62">
      <c r="A62" s="4"/>
      <c r="B62" s="171" t="s">
        <v>240</v>
      </c>
      <c r="C62" s="173" t="s">
        <v>241</v>
      </c>
      <c r="D62" s="169"/>
      <c r="E62" s="170" t="b">
        <v>0</v>
      </c>
      <c r="F62" s="169"/>
      <c r="G62" s="170" t="b">
        <v>0</v>
      </c>
      <c r="H62" s="4"/>
    </row>
    <row r="63">
      <c r="A63" s="4"/>
      <c r="B63" s="168" t="s">
        <v>242</v>
      </c>
      <c r="C63" s="173" t="s">
        <v>243</v>
      </c>
      <c r="D63" s="169"/>
      <c r="E63" s="170" t="b">
        <v>0</v>
      </c>
      <c r="F63" s="169"/>
      <c r="G63" s="170" t="b">
        <v>0</v>
      </c>
      <c r="H63" s="4"/>
    </row>
    <row r="64">
      <c r="A64" s="4"/>
      <c r="B64" s="168" t="s">
        <v>244</v>
      </c>
      <c r="C64" s="174" t="s">
        <v>245</v>
      </c>
      <c r="D64" s="169"/>
      <c r="E64" s="170" t="b">
        <v>0</v>
      </c>
      <c r="F64" s="169"/>
      <c r="G64" s="170" t="b">
        <v>0</v>
      </c>
      <c r="H64" s="4"/>
    </row>
    <row r="65">
      <c r="A65" s="4"/>
      <c r="B65" s="168" t="s">
        <v>246</v>
      </c>
      <c r="C65" s="173" t="s">
        <v>247</v>
      </c>
      <c r="D65" s="169"/>
      <c r="E65" s="170" t="b">
        <v>0</v>
      </c>
      <c r="F65" s="169"/>
      <c r="G65" s="170" t="b">
        <v>0</v>
      </c>
      <c r="H65" s="4"/>
    </row>
    <row r="66">
      <c r="A66" s="4"/>
      <c r="B66" s="171" t="s">
        <v>248</v>
      </c>
      <c r="C66" s="174" t="s">
        <v>249</v>
      </c>
      <c r="D66" s="169"/>
      <c r="E66" s="170" t="b">
        <v>0</v>
      </c>
      <c r="F66" s="169"/>
      <c r="G66" s="170" t="b">
        <v>0</v>
      </c>
      <c r="H66" s="4"/>
    </row>
    <row r="67">
      <c r="A67" s="4"/>
      <c r="B67" s="171" t="s">
        <v>250</v>
      </c>
      <c r="C67" s="173" t="s">
        <v>251</v>
      </c>
      <c r="D67" s="169"/>
      <c r="E67" s="170" t="b">
        <v>0</v>
      </c>
      <c r="F67" s="169"/>
      <c r="G67" s="170" t="b">
        <v>0</v>
      </c>
      <c r="H67" s="4"/>
    </row>
    <row r="68">
      <c r="A68" s="4"/>
      <c r="B68" s="168" t="s">
        <v>252</v>
      </c>
      <c r="C68" s="171" t="s">
        <v>253</v>
      </c>
      <c r="D68" s="169"/>
      <c r="E68" s="170" t="b">
        <v>0</v>
      </c>
      <c r="F68" s="169"/>
      <c r="G68" s="170" t="b">
        <v>0</v>
      </c>
      <c r="H68" s="4"/>
    </row>
    <row r="69">
      <c r="A69" s="4"/>
      <c r="B69" s="171" t="s">
        <v>254</v>
      </c>
      <c r="C69" s="171" t="s">
        <v>255</v>
      </c>
      <c r="D69" s="169"/>
      <c r="E69" s="170" t="b">
        <v>0</v>
      </c>
      <c r="F69" s="169"/>
      <c r="G69" s="170" t="b">
        <v>0</v>
      </c>
      <c r="H69" s="4"/>
    </row>
    <row r="70">
      <c r="A70" s="4"/>
      <c r="B70" s="171" t="s">
        <v>256</v>
      </c>
      <c r="C70" s="174" t="s">
        <v>257</v>
      </c>
      <c r="D70" s="169"/>
      <c r="E70" s="170" t="b">
        <v>0</v>
      </c>
      <c r="F70" s="169"/>
      <c r="G70" s="170" t="b">
        <v>0</v>
      </c>
      <c r="H70" s="4"/>
    </row>
    <row r="71">
      <c r="A71" s="4"/>
      <c r="B71" s="171" t="s">
        <v>258</v>
      </c>
      <c r="C71" s="174" t="s">
        <v>259</v>
      </c>
      <c r="D71" s="169"/>
      <c r="E71" s="170" t="b">
        <v>0</v>
      </c>
      <c r="F71" s="169"/>
      <c r="G71" s="170" t="b">
        <v>0</v>
      </c>
      <c r="H71" s="4"/>
    </row>
    <row r="72">
      <c r="A72" s="4"/>
      <c r="B72" s="171" t="s">
        <v>260</v>
      </c>
      <c r="C72" s="174" t="s">
        <v>261</v>
      </c>
      <c r="D72" s="169"/>
      <c r="E72" s="170" t="b">
        <v>0</v>
      </c>
      <c r="F72" s="169"/>
      <c r="G72" s="170" t="b">
        <v>0</v>
      </c>
      <c r="H72" s="4"/>
    </row>
    <row r="73">
      <c r="A73" s="4"/>
      <c r="B73" s="171" t="s">
        <v>262</v>
      </c>
      <c r="C73" s="174" t="s">
        <v>263</v>
      </c>
      <c r="D73" s="169"/>
      <c r="E73" s="170" t="b">
        <v>0</v>
      </c>
      <c r="F73" s="169"/>
      <c r="G73" s="170" t="b">
        <v>0</v>
      </c>
      <c r="H73" s="4"/>
    </row>
    <row r="74">
      <c r="A74" s="172"/>
      <c r="B74" s="177" t="s">
        <v>264</v>
      </c>
      <c r="D74" s="172"/>
      <c r="E74" s="172"/>
      <c r="F74" s="172"/>
      <c r="G74" s="172"/>
      <c r="H74" s="172"/>
    </row>
    <row r="75">
      <c r="A75" s="4"/>
      <c r="B75" s="171" t="s">
        <v>265</v>
      </c>
      <c r="C75" s="171" t="s">
        <v>266</v>
      </c>
      <c r="D75" s="169"/>
      <c r="E75" s="170" t="b">
        <v>0</v>
      </c>
      <c r="F75" s="169"/>
      <c r="G75" s="170" t="b">
        <v>0</v>
      </c>
      <c r="H75" s="4"/>
    </row>
    <row r="76">
      <c r="A76" s="4"/>
      <c r="B76" s="171" t="s">
        <v>267</v>
      </c>
      <c r="C76" s="171" t="s">
        <v>268</v>
      </c>
      <c r="D76" s="169"/>
      <c r="E76" s="181" t="b">
        <v>0</v>
      </c>
      <c r="F76" s="169"/>
      <c r="G76" s="170" t="b">
        <v>0</v>
      </c>
      <c r="H76" s="4"/>
    </row>
    <row r="77">
      <c r="A77" s="4"/>
      <c r="B77" s="171" t="s">
        <v>269</v>
      </c>
      <c r="C77" s="174" t="s">
        <v>270</v>
      </c>
      <c r="D77" s="169"/>
      <c r="E77" s="181" t="b">
        <v>0</v>
      </c>
      <c r="F77" s="169"/>
      <c r="G77" s="170" t="b">
        <v>0</v>
      </c>
      <c r="H77" s="4"/>
    </row>
    <row r="78">
      <c r="A78" s="172"/>
      <c r="B78" s="177" t="s">
        <v>271</v>
      </c>
      <c r="D78" s="172"/>
      <c r="E78" s="172"/>
      <c r="F78" s="172"/>
      <c r="G78" s="172"/>
      <c r="H78" s="172"/>
    </row>
    <row r="79">
      <c r="A79" s="4"/>
      <c r="B79" s="168" t="s">
        <v>198</v>
      </c>
      <c r="C79" s="173" t="s">
        <v>199</v>
      </c>
      <c r="D79" s="182"/>
      <c r="E79" s="170" t="b">
        <v>0</v>
      </c>
      <c r="F79" s="4"/>
      <c r="G79" s="181" t="b">
        <v>0</v>
      </c>
      <c r="H79" s="4"/>
    </row>
    <row r="80">
      <c r="A80" s="4"/>
      <c r="B80" s="168" t="s">
        <v>272</v>
      </c>
      <c r="C80" s="168" t="s">
        <v>273</v>
      </c>
      <c r="D80" s="182"/>
      <c r="E80" s="170" t="b">
        <v>0</v>
      </c>
      <c r="F80" s="4"/>
      <c r="G80" s="181" t="b">
        <v>0</v>
      </c>
      <c r="H80" s="4"/>
    </row>
    <row r="81">
      <c r="A81" s="4"/>
      <c r="B81" s="168" t="s">
        <v>274</v>
      </c>
      <c r="C81" s="168" t="s">
        <v>275</v>
      </c>
      <c r="D81" s="182"/>
      <c r="E81" s="170" t="b">
        <v>0</v>
      </c>
      <c r="F81" s="4"/>
      <c r="G81" s="181" t="b">
        <v>0</v>
      </c>
      <c r="H81" s="4"/>
    </row>
    <row r="82">
      <c r="A82" s="4"/>
      <c r="B82" s="168" t="s">
        <v>276</v>
      </c>
      <c r="C82" s="171" t="s">
        <v>277</v>
      </c>
      <c r="D82" s="182"/>
      <c r="E82" s="170" t="b">
        <v>0</v>
      </c>
      <c r="F82" s="47"/>
      <c r="G82" s="181" t="b">
        <v>0</v>
      </c>
      <c r="H82" s="4"/>
    </row>
    <row r="83">
      <c r="A83" s="4"/>
      <c r="B83" s="171" t="s">
        <v>278</v>
      </c>
      <c r="C83" s="171" t="s">
        <v>279</v>
      </c>
      <c r="D83" s="182"/>
      <c r="E83" s="170" t="b">
        <v>0</v>
      </c>
      <c r="F83" s="47"/>
      <c r="G83" s="181" t="b">
        <v>0</v>
      </c>
      <c r="H83" s="4"/>
    </row>
    <row r="84">
      <c r="A84" s="163"/>
      <c r="B84" s="177" t="s">
        <v>280</v>
      </c>
      <c r="D84" s="172"/>
      <c r="E84" s="172"/>
      <c r="F84" s="183"/>
      <c r="G84" s="172"/>
      <c r="H84" s="172"/>
    </row>
    <row r="85">
      <c r="A85" s="4"/>
      <c r="B85" s="171" t="s">
        <v>281</v>
      </c>
      <c r="C85" s="174" t="s">
        <v>282</v>
      </c>
      <c r="D85" s="169"/>
      <c r="E85" s="170" t="b">
        <v>0</v>
      </c>
      <c r="F85" s="169"/>
      <c r="G85" s="170" t="b">
        <v>0</v>
      </c>
      <c r="H85" s="4"/>
    </row>
    <row r="86">
      <c r="A86" s="4"/>
      <c r="B86" s="171" t="s">
        <v>283</v>
      </c>
      <c r="C86" s="174" t="s">
        <v>282</v>
      </c>
      <c r="D86" s="169"/>
      <c r="E86" s="170" t="b">
        <v>0</v>
      </c>
      <c r="F86" s="169"/>
      <c r="G86" s="170" t="b">
        <v>0</v>
      </c>
      <c r="H86" s="4"/>
    </row>
    <row r="87">
      <c r="A87" s="4"/>
      <c r="B87" s="171" t="s">
        <v>284</v>
      </c>
      <c r="C87" s="174" t="s">
        <v>285</v>
      </c>
      <c r="D87" s="169"/>
      <c r="E87" s="170" t="b">
        <v>0</v>
      </c>
      <c r="F87" s="169"/>
      <c r="G87" s="170" t="b">
        <v>0</v>
      </c>
      <c r="H87" s="4"/>
    </row>
    <row r="88">
      <c r="A88" s="4"/>
      <c r="B88" s="171" t="s">
        <v>286</v>
      </c>
      <c r="C88" s="171" t="s">
        <v>287</v>
      </c>
      <c r="D88" s="169"/>
      <c r="E88" s="170" t="b">
        <v>0</v>
      </c>
      <c r="F88" s="169"/>
      <c r="G88" s="170" t="b">
        <v>0</v>
      </c>
      <c r="H88" s="4"/>
    </row>
    <row r="89">
      <c r="A89" s="4"/>
      <c r="B89" s="171" t="s">
        <v>288</v>
      </c>
      <c r="C89" s="171" t="s">
        <v>289</v>
      </c>
      <c r="D89" s="169"/>
      <c r="E89" s="170" t="b">
        <v>0</v>
      </c>
      <c r="F89" s="169"/>
      <c r="G89" s="170" t="b">
        <v>0</v>
      </c>
      <c r="H89" s="4"/>
    </row>
    <row r="90">
      <c r="A90" s="4"/>
      <c r="B90" s="171" t="s">
        <v>290</v>
      </c>
      <c r="C90" s="171" t="s">
        <v>291</v>
      </c>
      <c r="D90" s="169"/>
      <c r="E90" s="170" t="b">
        <v>0</v>
      </c>
      <c r="F90" s="169"/>
      <c r="G90" s="170" t="b">
        <v>0</v>
      </c>
      <c r="H90" s="4"/>
    </row>
    <row r="91">
      <c r="A91" s="4"/>
      <c r="B91" s="171" t="s">
        <v>292</v>
      </c>
      <c r="C91" s="171" t="s">
        <v>293</v>
      </c>
      <c r="D91" s="169"/>
      <c r="E91" s="170" t="b">
        <v>0</v>
      </c>
      <c r="F91" s="169"/>
      <c r="G91" s="170" t="b">
        <v>0</v>
      </c>
      <c r="H91" s="4"/>
    </row>
    <row r="92">
      <c r="A92" s="4"/>
      <c r="B92" s="171" t="s">
        <v>294</v>
      </c>
      <c r="C92" s="171" t="s">
        <v>295</v>
      </c>
      <c r="D92" s="169"/>
      <c r="E92" s="170" t="b">
        <v>0</v>
      </c>
      <c r="F92" s="169"/>
      <c r="G92" s="170" t="b">
        <v>0</v>
      </c>
      <c r="H92" s="4"/>
    </row>
    <row r="93">
      <c r="A93" s="4"/>
      <c r="B93" s="171" t="s">
        <v>296</v>
      </c>
      <c r="C93" s="171" t="s">
        <v>297</v>
      </c>
      <c r="D93" s="169"/>
      <c r="E93" s="170" t="b">
        <v>0</v>
      </c>
      <c r="F93" s="169"/>
      <c r="G93" s="170" t="b">
        <v>0</v>
      </c>
      <c r="H93" s="4"/>
    </row>
    <row r="94">
      <c r="A94" s="4"/>
      <c r="B94" s="171" t="s">
        <v>298</v>
      </c>
      <c r="C94" s="171" t="s">
        <v>299</v>
      </c>
      <c r="D94" s="169"/>
      <c r="E94" s="170" t="b">
        <v>0</v>
      </c>
      <c r="F94" s="169"/>
      <c r="G94" s="170" t="b">
        <v>0</v>
      </c>
      <c r="H94" s="4"/>
    </row>
    <row r="95">
      <c r="A95" s="4"/>
      <c r="B95" s="171" t="s">
        <v>300</v>
      </c>
      <c r="C95" s="171" t="s">
        <v>301</v>
      </c>
      <c r="D95" s="169"/>
      <c r="E95" s="170" t="b">
        <v>0</v>
      </c>
      <c r="F95" s="169"/>
      <c r="G95" s="170" t="b">
        <v>0</v>
      </c>
      <c r="H95" s="4"/>
    </row>
    <row r="96">
      <c r="A96" s="4"/>
      <c r="B96" s="171" t="s">
        <v>302</v>
      </c>
      <c r="C96" s="171" t="s">
        <v>303</v>
      </c>
      <c r="D96" s="169"/>
      <c r="E96" s="170" t="b">
        <v>0</v>
      </c>
      <c r="F96" s="169"/>
      <c r="G96" s="170" t="b">
        <v>0</v>
      </c>
      <c r="H96" s="4"/>
    </row>
    <row r="97">
      <c r="A97" s="4"/>
      <c r="B97" s="171" t="s">
        <v>304</v>
      </c>
      <c r="C97" s="171" t="s">
        <v>305</v>
      </c>
      <c r="D97" s="169"/>
      <c r="E97" s="170" t="b">
        <v>0</v>
      </c>
      <c r="F97" s="169"/>
      <c r="G97" s="170" t="b">
        <v>0</v>
      </c>
      <c r="H97" s="4"/>
    </row>
    <row r="98">
      <c r="A98" s="163"/>
      <c r="B98" s="177" t="s">
        <v>306</v>
      </c>
      <c r="D98" s="172"/>
      <c r="E98" s="172"/>
      <c r="F98" s="183"/>
      <c r="G98" s="172"/>
      <c r="H98" s="172"/>
    </row>
    <row r="99">
      <c r="A99" s="4"/>
      <c r="B99" s="171" t="s">
        <v>307</v>
      </c>
      <c r="C99" s="171" t="s">
        <v>308</v>
      </c>
      <c r="D99" s="169"/>
      <c r="E99" s="170" t="b">
        <v>0</v>
      </c>
      <c r="F99" s="169"/>
      <c r="G99" s="170" t="b">
        <v>0</v>
      </c>
      <c r="H99" s="4"/>
    </row>
    <row r="100">
      <c r="A100" s="4"/>
      <c r="B100" s="171" t="s">
        <v>309</v>
      </c>
      <c r="C100" s="171" t="s">
        <v>310</v>
      </c>
      <c r="D100" s="169"/>
      <c r="E100" s="170" t="b">
        <v>0</v>
      </c>
      <c r="F100" s="169"/>
      <c r="G100" s="170" t="b">
        <v>0</v>
      </c>
      <c r="H100" s="4"/>
    </row>
    <row r="101">
      <c r="A101" s="4"/>
      <c r="B101" s="171"/>
      <c r="C101" s="174"/>
      <c r="D101" s="169"/>
      <c r="E101" s="170"/>
      <c r="F101" s="169"/>
      <c r="G101" s="170"/>
      <c r="H101" s="4"/>
    </row>
    <row r="102">
      <c r="A102" s="4"/>
      <c r="B102" s="171"/>
      <c r="C102" s="171"/>
      <c r="D102" s="169"/>
      <c r="E102" s="170"/>
      <c r="F102" s="169"/>
      <c r="G102" s="170"/>
      <c r="H102" s="4"/>
    </row>
    <row r="103">
      <c r="A103" s="4"/>
      <c r="B103" s="171"/>
      <c r="C103" s="171"/>
      <c r="D103" s="169"/>
      <c r="E103" s="170"/>
      <c r="F103" s="169"/>
      <c r="G103" s="170"/>
      <c r="H103" s="4"/>
    </row>
    <row r="104">
      <c r="A104" s="4"/>
      <c r="B104" s="171"/>
      <c r="C104" s="171"/>
      <c r="D104" s="169"/>
      <c r="E104" s="170"/>
      <c r="F104" s="169"/>
      <c r="G104" s="170"/>
      <c r="H104" s="4"/>
    </row>
    <row r="105">
      <c r="A105" s="4"/>
      <c r="B105" s="171"/>
      <c r="C105" s="171"/>
      <c r="D105" s="169"/>
      <c r="E105" s="170"/>
      <c r="F105" s="169"/>
      <c r="G105" s="170"/>
      <c r="H105" s="4"/>
    </row>
    <row r="106">
      <c r="A106" s="4"/>
      <c r="B106" s="171"/>
      <c r="C106" s="171"/>
      <c r="D106" s="169"/>
      <c r="E106" s="170"/>
      <c r="F106" s="169"/>
      <c r="G106" s="170"/>
      <c r="H106" s="4"/>
    </row>
    <row r="107">
      <c r="A107" s="4"/>
      <c r="B107" s="171"/>
      <c r="C107" s="171"/>
      <c r="D107" s="4"/>
      <c r="E107" s="4"/>
      <c r="F107" s="4"/>
      <c r="G107" s="4"/>
      <c r="H107" s="4"/>
    </row>
    <row r="108">
      <c r="A108" s="4"/>
      <c r="B108" s="171"/>
      <c r="C108" s="171"/>
      <c r="D108" s="4"/>
      <c r="E108" s="4"/>
      <c r="F108" s="4"/>
      <c r="G108" s="4"/>
      <c r="H108" s="4"/>
    </row>
    <row r="109">
      <c r="A109" s="4"/>
      <c r="B109" s="171"/>
      <c r="C109" s="171"/>
      <c r="D109" s="4"/>
      <c r="E109" s="4"/>
      <c r="F109" s="4"/>
      <c r="G109" s="4"/>
      <c r="H109" s="4"/>
    </row>
    <row r="110">
      <c r="A110" s="4"/>
      <c r="B110" s="171"/>
      <c r="C110" s="171"/>
      <c r="D110" s="4"/>
      <c r="E110" s="4"/>
      <c r="F110" s="4"/>
      <c r="G110" s="4"/>
      <c r="H110" s="4"/>
    </row>
    <row r="111">
      <c r="A111" s="4"/>
      <c r="B111" s="171"/>
      <c r="C111" s="171"/>
      <c r="D111" s="4"/>
      <c r="E111" s="4"/>
      <c r="F111" s="4"/>
      <c r="G111" s="4"/>
      <c r="H111" s="4"/>
    </row>
    <row r="112">
      <c r="A112" s="4"/>
      <c r="B112" s="171"/>
      <c r="C112" s="171"/>
      <c r="D112" s="4"/>
      <c r="E112" s="4"/>
      <c r="F112" s="4"/>
      <c r="G112" s="4"/>
      <c r="H112" s="4"/>
    </row>
    <row r="113">
      <c r="A113" s="4"/>
      <c r="B113" s="47"/>
      <c r="C113" s="4"/>
      <c r="D113" s="4"/>
      <c r="E113" s="4"/>
      <c r="F113" s="4"/>
      <c r="G113" s="4"/>
      <c r="H113" s="4"/>
    </row>
    <row r="114">
      <c r="A114" s="4"/>
      <c r="B114" s="47"/>
      <c r="C114" s="4"/>
      <c r="D114" s="4"/>
      <c r="E114" s="4"/>
      <c r="F114" s="4"/>
      <c r="G114" s="4"/>
      <c r="H114" s="4"/>
    </row>
    <row r="115">
      <c r="A115" s="4"/>
      <c r="B115" s="47"/>
      <c r="C115" s="4"/>
      <c r="D115" s="4"/>
      <c r="E115" s="4"/>
      <c r="F115" s="4"/>
      <c r="G115" s="4"/>
      <c r="H115" s="4"/>
    </row>
    <row r="116">
      <c r="A116" s="4"/>
      <c r="B116" s="47"/>
      <c r="C116" s="4"/>
      <c r="D116" s="4"/>
      <c r="E116" s="4"/>
      <c r="F116" s="4"/>
      <c r="G116" s="4"/>
      <c r="H116" s="4"/>
    </row>
    <row r="117">
      <c r="A117" s="4"/>
      <c r="B117" s="47"/>
      <c r="C117" s="4"/>
      <c r="D117" s="4"/>
      <c r="E117" s="4"/>
      <c r="F117" s="4"/>
      <c r="G117" s="4"/>
      <c r="H117" s="4"/>
    </row>
    <row r="118">
      <c r="A118" s="4"/>
      <c r="B118" s="47"/>
      <c r="C118" s="4"/>
      <c r="D118" s="4"/>
      <c r="E118" s="4"/>
      <c r="F118" s="4"/>
      <c r="G118" s="4"/>
      <c r="H118" s="4"/>
    </row>
    <row r="119">
      <c r="A119" s="4"/>
      <c r="B119" s="47"/>
      <c r="C119" s="4"/>
      <c r="D119" s="4"/>
      <c r="E119" s="4"/>
      <c r="F119" s="4"/>
      <c r="G119" s="4"/>
      <c r="H119" s="4"/>
    </row>
    <row r="120">
      <c r="A120" s="4"/>
      <c r="B120" s="47"/>
      <c r="C120" s="4"/>
      <c r="D120" s="4"/>
      <c r="E120" s="4"/>
      <c r="F120" s="4"/>
      <c r="G120" s="4"/>
      <c r="H120" s="4"/>
    </row>
    <row r="121">
      <c r="A121" s="4"/>
      <c r="B121" s="47"/>
      <c r="C121" s="4"/>
      <c r="D121" s="4"/>
      <c r="E121" s="4"/>
      <c r="F121" s="4"/>
      <c r="G121" s="4"/>
      <c r="H121" s="4"/>
    </row>
    <row r="122">
      <c r="A122" s="4"/>
      <c r="B122" s="47"/>
      <c r="C122" s="4"/>
      <c r="D122" s="4"/>
      <c r="E122" s="4"/>
      <c r="F122" s="4"/>
      <c r="G122" s="4"/>
      <c r="H122" s="4"/>
    </row>
    <row r="123">
      <c r="A123" s="4"/>
      <c r="B123" s="47"/>
      <c r="C123" s="4"/>
      <c r="D123" s="4"/>
      <c r="E123" s="4"/>
      <c r="F123" s="4"/>
      <c r="G123" s="4"/>
      <c r="H123" s="4"/>
    </row>
    <row r="124">
      <c r="A124" s="4"/>
      <c r="B124" s="47"/>
      <c r="C124" s="4"/>
      <c r="D124" s="4"/>
      <c r="E124" s="4"/>
      <c r="F124" s="4"/>
      <c r="G124" s="4"/>
      <c r="H124" s="4"/>
    </row>
    <row r="125">
      <c r="A125" s="4"/>
      <c r="B125" s="47"/>
      <c r="C125" s="4"/>
      <c r="D125" s="4"/>
      <c r="E125" s="4"/>
      <c r="F125" s="4"/>
      <c r="G125" s="4"/>
      <c r="H125" s="4"/>
    </row>
    <row r="126">
      <c r="A126" s="4"/>
      <c r="B126" s="47"/>
      <c r="C126" s="4"/>
      <c r="D126" s="4"/>
      <c r="E126" s="4"/>
      <c r="F126" s="4"/>
      <c r="G126" s="4"/>
      <c r="H126" s="4"/>
    </row>
    <row r="127">
      <c r="A127" s="4"/>
      <c r="B127" s="47"/>
      <c r="C127" s="4"/>
      <c r="D127" s="4"/>
      <c r="E127" s="4"/>
      <c r="F127" s="4"/>
      <c r="G127" s="4"/>
      <c r="H127" s="4"/>
    </row>
    <row r="128">
      <c r="A128" s="4"/>
      <c r="B128" s="47"/>
      <c r="C128" s="4"/>
      <c r="D128" s="4"/>
      <c r="E128" s="4"/>
      <c r="F128" s="4"/>
      <c r="G128" s="4"/>
      <c r="H128" s="4"/>
    </row>
    <row r="129">
      <c r="A129" s="4"/>
      <c r="B129" s="47"/>
      <c r="C129" s="4"/>
      <c r="D129" s="4"/>
      <c r="E129" s="4"/>
      <c r="F129" s="4"/>
      <c r="G129" s="4"/>
      <c r="H129" s="4"/>
    </row>
    <row r="130">
      <c r="A130" s="4"/>
      <c r="B130" s="47"/>
      <c r="C130" s="4"/>
      <c r="D130" s="4"/>
      <c r="E130" s="4"/>
      <c r="F130" s="4"/>
      <c r="G130" s="4"/>
      <c r="H130" s="4"/>
    </row>
    <row r="131">
      <c r="A131" s="4"/>
      <c r="B131" s="47"/>
      <c r="C131" s="4"/>
      <c r="D131" s="4"/>
      <c r="E131" s="4"/>
      <c r="F131" s="4"/>
      <c r="G131" s="4"/>
      <c r="H131" s="4"/>
    </row>
    <row r="132">
      <c r="A132" s="4"/>
      <c r="B132" s="47"/>
      <c r="C132" s="4"/>
      <c r="D132" s="4"/>
      <c r="E132" s="4"/>
      <c r="F132" s="4"/>
      <c r="G132" s="4"/>
      <c r="H132" s="4"/>
    </row>
    <row r="133">
      <c r="A133" s="4"/>
      <c r="B133" s="47"/>
      <c r="C133" s="4"/>
      <c r="D133" s="4"/>
      <c r="E133" s="4"/>
      <c r="F133" s="4"/>
      <c r="G133" s="4"/>
      <c r="H133" s="4"/>
    </row>
    <row r="134">
      <c r="A134" s="4"/>
      <c r="B134" s="47"/>
      <c r="C134" s="4"/>
      <c r="D134" s="4"/>
      <c r="E134" s="4"/>
      <c r="F134" s="4"/>
      <c r="G134" s="4"/>
      <c r="H134" s="4"/>
    </row>
    <row r="135">
      <c r="A135" s="4"/>
      <c r="B135" s="47"/>
      <c r="C135" s="4"/>
      <c r="D135" s="4"/>
      <c r="E135" s="4"/>
      <c r="F135" s="4"/>
      <c r="G135" s="4"/>
      <c r="H135" s="4"/>
    </row>
    <row r="136">
      <c r="A136" s="4"/>
      <c r="B136" s="47"/>
      <c r="C136" s="4"/>
      <c r="D136" s="4"/>
      <c r="E136" s="4"/>
      <c r="F136" s="4"/>
      <c r="G136" s="4"/>
      <c r="H136" s="4"/>
    </row>
    <row r="137">
      <c r="A137" s="4"/>
      <c r="B137" s="47"/>
      <c r="C137" s="4"/>
      <c r="D137" s="4"/>
      <c r="E137" s="4"/>
      <c r="F137" s="4"/>
      <c r="G137" s="4"/>
      <c r="H137" s="4"/>
    </row>
    <row r="138">
      <c r="A138" s="4"/>
      <c r="B138" s="47"/>
      <c r="C138" s="4"/>
      <c r="D138" s="4"/>
      <c r="E138" s="4"/>
      <c r="F138" s="4"/>
      <c r="G138" s="4"/>
      <c r="H138" s="4"/>
    </row>
    <row r="139">
      <c r="A139" s="4"/>
      <c r="B139" s="47"/>
      <c r="C139" s="4"/>
      <c r="D139" s="4"/>
      <c r="E139" s="4"/>
      <c r="F139" s="4"/>
      <c r="G139" s="4"/>
      <c r="H139" s="4"/>
    </row>
    <row r="140">
      <c r="A140" s="4"/>
      <c r="B140" s="47"/>
      <c r="C140" s="4"/>
      <c r="D140" s="4"/>
      <c r="E140" s="4"/>
      <c r="F140" s="4"/>
      <c r="G140" s="4"/>
      <c r="H140" s="4"/>
    </row>
    <row r="141">
      <c r="A141" s="4"/>
      <c r="B141" s="47"/>
      <c r="C141" s="4"/>
      <c r="D141" s="4"/>
      <c r="E141" s="4"/>
      <c r="F141" s="4"/>
      <c r="G141" s="4"/>
      <c r="H141" s="4"/>
    </row>
    <row r="142">
      <c r="A142" s="4"/>
      <c r="B142" s="47"/>
      <c r="C142" s="4"/>
      <c r="D142" s="4"/>
      <c r="E142" s="4"/>
      <c r="F142" s="4"/>
      <c r="G142" s="4"/>
      <c r="H142" s="4"/>
    </row>
    <row r="143">
      <c r="A143" s="4"/>
      <c r="B143" s="47"/>
      <c r="C143" s="4"/>
      <c r="D143" s="4"/>
      <c r="E143" s="4"/>
      <c r="F143" s="4"/>
      <c r="G143" s="4"/>
      <c r="H143" s="4"/>
    </row>
    <row r="144">
      <c r="A144" s="4"/>
      <c r="B144" s="47"/>
      <c r="C144" s="4"/>
      <c r="D144" s="4"/>
      <c r="E144" s="4"/>
      <c r="F144" s="4"/>
      <c r="G144" s="4"/>
      <c r="H144" s="4"/>
    </row>
    <row r="145">
      <c r="A145" s="4"/>
      <c r="B145" s="47"/>
      <c r="C145" s="4"/>
      <c r="D145" s="4"/>
      <c r="E145" s="4"/>
      <c r="F145" s="4"/>
      <c r="G145" s="4"/>
      <c r="H145" s="4"/>
    </row>
    <row r="146">
      <c r="A146" s="4"/>
      <c r="B146" s="47"/>
      <c r="C146" s="4"/>
      <c r="D146" s="4"/>
      <c r="E146" s="4"/>
      <c r="F146" s="4"/>
      <c r="G146" s="4"/>
      <c r="H146" s="4"/>
    </row>
    <row r="147">
      <c r="A147" s="4"/>
      <c r="B147" s="47"/>
      <c r="C147" s="4"/>
      <c r="D147" s="4"/>
      <c r="E147" s="4"/>
      <c r="F147" s="4"/>
      <c r="G147" s="4"/>
      <c r="H147" s="4"/>
    </row>
    <row r="148">
      <c r="A148" s="4"/>
      <c r="B148" s="47"/>
      <c r="C148" s="4"/>
      <c r="D148" s="4"/>
      <c r="E148" s="4"/>
      <c r="F148" s="4"/>
      <c r="G148" s="4"/>
      <c r="H148" s="4"/>
    </row>
    <row r="149">
      <c r="A149" s="4"/>
      <c r="B149" s="47"/>
      <c r="C149" s="4"/>
      <c r="D149" s="4"/>
      <c r="E149" s="4"/>
      <c r="F149" s="4"/>
      <c r="G149" s="4"/>
      <c r="H149" s="4"/>
    </row>
    <row r="150">
      <c r="A150" s="4"/>
      <c r="B150" s="47"/>
      <c r="C150" s="4"/>
      <c r="D150" s="4"/>
      <c r="E150" s="4"/>
      <c r="F150" s="4"/>
      <c r="G150" s="4"/>
      <c r="H150" s="4"/>
    </row>
    <row r="151">
      <c r="A151" s="4"/>
      <c r="B151" s="47"/>
      <c r="C151" s="4"/>
      <c r="D151" s="4"/>
      <c r="E151" s="4"/>
      <c r="F151" s="4"/>
      <c r="G151" s="4"/>
      <c r="H151" s="4"/>
    </row>
    <row r="152">
      <c r="A152" s="4"/>
      <c r="B152" s="47"/>
      <c r="C152" s="4"/>
      <c r="D152" s="4"/>
      <c r="E152" s="4"/>
      <c r="F152" s="4"/>
      <c r="G152" s="4"/>
      <c r="H152" s="4"/>
    </row>
    <row r="153">
      <c r="A153" s="4"/>
      <c r="B153" s="47"/>
      <c r="C153" s="4"/>
      <c r="D153" s="4"/>
      <c r="E153" s="4"/>
      <c r="F153" s="4"/>
      <c r="G153" s="4"/>
      <c r="H153" s="4"/>
    </row>
    <row r="154">
      <c r="A154" s="4"/>
      <c r="B154" s="47"/>
      <c r="C154" s="4"/>
      <c r="D154" s="4"/>
      <c r="E154" s="4"/>
      <c r="F154" s="4"/>
      <c r="G154" s="4"/>
      <c r="H154" s="4"/>
    </row>
    <row r="155">
      <c r="A155" s="4"/>
      <c r="B155" s="47"/>
      <c r="C155" s="4"/>
      <c r="D155" s="4"/>
      <c r="E155" s="4"/>
      <c r="F155" s="4"/>
      <c r="G155" s="4"/>
      <c r="H155" s="4"/>
    </row>
    <row r="156">
      <c r="A156" s="4"/>
      <c r="B156" s="47"/>
      <c r="C156" s="4"/>
      <c r="D156" s="4"/>
      <c r="E156" s="4"/>
      <c r="F156" s="4"/>
      <c r="G156" s="4"/>
      <c r="H156" s="4"/>
    </row>
    <row r="157">
      <c r="A157" s="4"/>
      <c r="B157" s="47"/>
      <c r="C157" s="4"/>
      <c r="D157" s="4"/>
      <c r="E157" s="4"/>
      <c r="F157" s="4"/>
      <c r="G157" s="4"/>
      <c r="H157" s="4"/>
    </row>
    <row r="158">
      <c r="A158" s="4"/>
      <c r="B158" s="47"/>
      <c r="C158" s="4"/>
      <c r="D158" s="4"/>
      <c r="E158" s="4"/>
      <c r="F158" s="4"/>
      <c r="G158" s="4"/>
      <c r="H158" s="4"/>
    </row>
    <row r="159">
      <c r="A159" s="4"/>
      <c r="B159" s="47"/>
      <c r="C159" s="4"/>
      <c r="D159" s="4"/>
      <c r="E159" s="4"/>
      <c r="F159" s="4"/>
      <c r="G159" s="4"/>
      <c r="H159" s="4"/>
    </row>
    <row r="160">
      <c r="A160" s="4"/>
      <c r="B160" s="47"/>
      <c r="C160" s="4"/>
      <c r="D160" s="4"/>
      <c r="E160" s="4"/>
      <c r="F160" s="4"/>
      <c r="G160" s="4"/>
      <c r="H160" s="4"/>
    </row>
    <row r="161">
      <c r="A161" s="4"/>
      <c r="B161" s="47"/>
      <c r="C161" s="4"/>
      <c r="D161" s="4"/>
      <c r="E161" s="4"/>
      <c r="F161" s="4"/>
      <c r="G161" s="4"/>
      <c r="H161" s="4"/>
    </row>
    <row r="162">
      <c r="A162" s="4"/>
      <c r="B162" s="47"/>
      <c r="C162" s="4"/>
      <c r="D162" s="4"/>
      <c r="E162" s="4"/>
      <c r="F162" s="4"/>
      <c r="G162" s="4"/>
      <c r="H162" s="4"/>
    </row>
    <row r="163">
      <c r="A163" s="4"/>
      <c r="B163" s="47"/>
      <c r="C163" s="4"/>
      <c r="D163" s="4"/>
      <c r="E163" s="4"/>
      <c r="F163" s="4"/>
      <c r="G163" s="4"/>
      <c r="H163" s="4"/>
    </row>
    <row r="164">
      <c r="A164" s="4"/>
      <c r="B164" s="47"/>
      <c r="C164" s="4"/>
      <c r="D164" s="4"/>
      <c r="E164" s="4"/>
      <c r="F164" s="4"/>
      <c r="G164" s="4"/>
      <c r="H164" s="4"/>
    </row>
    <row r="165">
      <c r="A165" s="4"/>
      <c r="B165" s="47"/>
      <c r="C165" s="4"/>
      <c r="D165" s="4"/>
      <c r="E165" s="4"/>
      <c r="F165" s="4"/>
      <c r="G165" s="4"/>
      <c r="H165" s="4"/>
    </row>
    <row r="166">
      <c r="A166" s="4"/>
      <c r="B166" s="47"/>
      <c r="C166" s="4"/>
      <c r="D166" s="4"/>
      <c r="E166" s="4"/>
      <c r="F166" s="4"/>
      <c r="G166" s="4"/>
      <c r="H166" s="4"/>
    </row>
    <row r="167">
      <c r="A167" s="4"/>
      <c r="B167" s="47"/>
      <c r="C167" s="4"/>
      <c r="D167" s="4"/>
      <c r="E167" s="4"/>
      <c r="F167" s="4"/>
      <c r="G167" s="4"/>
      <c r="H167" s="4"/>
    </row>
    <row r="168">
      <c r="A168" s="4"/>
      <c r="B168" s="47"/>
      <c r="C168" s="4"/>
      <c r="D168" s="4"/>
      <c r="E168" s="4"/>
      <c r="F168" s="4"/>
      <c r="G168" s="4"/>
      <c r="H168" s="4"/>
    </row>
    <row r="169">
      <c r="A169" s="4"/>
      <c r="B169" s="47"/>
      <c r="C169" s="4"/>
      <c r="D169" s="4"/>
      <c r="E169" s="4"/>
      <c r="F169" s="4"/>
      <c r="G169" s="4"/>
      <c r="H169" s="4"/>
    </row>
    <row r="170">
      <c r="A170" s="4"/>
      <c r="B170" s="47"/>
      <c r="C170" s="4"/>
      <c r="D170" s="4"/>
      <c r="E170" s="4"/>
      <c r="F170" s="4"/>
      <c r="G170" s="4"/>
      <c r="H170" s="4"/>
    </row>
    <row r="171">
      <c r="A171" s="4"/>
      <c r="B171" s="47"/>
      <c r="C171" s="4"/>
      <c r="D171" s="4"/>
      <c r="E171" s="4"/>
      <c r="F171" s="4"/>
      <c r="G171" s="4"/>
      <c r="H171" s="4"/>
    </row>
    <row r="172">
      <c r="A172" s="4"/>
      <c r="B172" s="47"/>
      <c r="C172" s="4"/>
      <c r="D172" s="4"/>
      <c r="E172" s="4"/>
      <c r="F172" s="4"/>
      <c r="G172" s="4"/>
      <c r="H172" s="4"/>
    </row>
    <row r="173">
      <c r="A173" s="4"/>
      <c r="B173" s="47"/>
      <c r="C173" s="4"/>
      <c r="D173" s="4"/>
      <c r="E173" s="4"/>
      <c r="F173" s="4"/>
      <c r="G173" s="4"/>
      <c r="H173" s="4"/>
    </row>
    <row r="174">
      <c r="A174" s="4"/>
      <c r="B174" s="47"/>
      <c r="C174" s="4"/>
      <c r="D174" s="4"/>
      <c r="E174" s="4"/>
      <c r="F174" s="4"/>
      <c r="G174" s="4"/>
      <c r="H174" s="4"/>
    </row>
    <row r="175">
      <c r="A175" s="4"/>
      <c r="B175" s="47"/>
      <c r="C175" s="4"/>
      <c r="D175" s="4"/>
      <c r="E175" s="4"/>
      <c r="F175" s="4"/>
      <c r="G175" s="4"/>
      <c r="H175" s="4"/>
    </row>
    <row r="176">
      <c r="A176" s="4"/>
      <c r="B176" s="47"/>
      <c r="C176" s="4"/>
      <c r="D176" s="4"/>
      <c r="E176" s="4"/>
      <c r="F176" s="4"/>
      <c r="G176" s="4"/>
      <c r="H176" s="4"/>
    </row>
    <row r="177">
      <c r="A177" s="4"/>
      <c r="B177" s="47"/>
      <c r="C177" s="4"/>
      <c r="D177" s="4"/>
      <c r="E177" s="4"/>
      <c r="F177" s="4"/>
      <c r="G177" s="4"/>
      <c r="H177" s="4"/>
    </row>
    <row r="178">
      <c r="A178" s="4"/>
      <c r="B178" s="47"/>
      <c r="C178" s="4"/>
      <c r="D178" s="4"/>
      <c r="E178" s="4"/>
      <c r="F178" s="4"/>
      <c r="G178" s="4"/>
      <c r="H178" s="4"/>
    </row>
    <row r="179">
      <c r="A179" s="4"/>
      <c r="B179" s="47"/>
      <c r="C179" s="4"/>
      <c r="D179" s="4"/>
      <c r="E179" s="4"/>
      <c r="F179" s="4"/>
      <c r="G179" s="4"/>
      <c r="H179" s="4"/>
    </row>
    <row r="180">
      <c r="A180" s="4"/>
      <c r="B180" s="47"/>
      <c r="C180" s="4"/>
      <c r="D180" s="4"/>
      <c r="E180" s="4"/>
      <c r="F180" s="4"/>
      <c r="G180" s="4"/>
      <c r="H180" s="4"/>
    </row>
    <row r="181">
      <c r="A181" s="4"/>
      <c r="B181" s="47"/>
      <c r="C181" s="4"/>
      <c r="D181" s="4"/>
      <c r="E181" s="4"/>
      <c r="F181" s="4"/>
      <c r="G181" s="4"/>
      <c r="H181" s="4"/>
    </row>
    <row r="182">
      <c r="A182" s="4"/>
      <c r="B182" s="47"/>
      <c r="C182" s="4"/>
      <c r="D182" s="4"/>
      <c r="E182" s="4"/>
      <c r="F182" s="4"/>
      <c r="G182" s="4"/>
      <c r="H182" s="4"/>
    </row>
    <row r="183">
      <c r="A183" s="4"/>
      <c r="B183" s="47"/>
      <c r="C183" s="4"/>
      <c r="D183" s="4"/>
      <c r="E183" s="4"/>
      <c r="F183" s="4"/>
      <c r="G183" s="4"/>
      <c r="H183" s="4"/>
    </row>
    <row r="184">
      <c r="A184" s="4"/>
      <c r="B184" s="47"/>
      <c r="C184" s="4"/>
      <c r="D184" s="4"/>
      <c r="E184" s="4"/>
      <c r="F184" s="4"/>
      <c r="G184" s="4"/>
      <c r="H184" s="4"/>
    </row>
    <row r="185">
      <c r="A185" s="4"/>
      <c r="B185" s="47"/>
      <c r="C185" s="4"/>
      <c r="D185" s="4"/>
      <c r="E185" s="4"/>
      <c r="F185" s="4"/>
      <c r="G185" s="4"/>
      <c r="H185" s="4"/>
    </row>
    <row r="186">
      <c r="A186" s="4"/>
      <c r="B186" s="47"/>
      <c r="C186" s="4"/>
      <c r="D186" s="4"/>
      <c r="E186" s="4"/>
      <c r="F186" s="4"/>
      <c r="G186" s="4"/>
      <c r="H186" s="4"/>
    </row>
    <row r="187">
      <c r="A187" s="4"/>
      <c r="B187" s="47"/>
      <c r="C187" s="4"/>
      <c r="D187" s="4"/>
      <c r="E187" s="4"/>
      <c r="F187" s="4"/>
      <c r="G187" s="4"/>
      <c r="H187" s="4"/>
    </row>
    <row r="188">
      <c r="A188" s="4"/>
      <c r="B188" s="47"/>
      <c r="C188" s="4"/>
      <c r="D188" s="4"/>
      <c r="E188" s="4"/>
      <c r="F188" s="4"/>
      <c r="G188" s="4"/>
      <c r="H188" s="4"/>
    </row>
    <row r="189">
      <c r="A189" s="4"/>
      <c r="B189" s="47"/>
      <c r="C189" s="4"/>
      <c r="D189" s="4"/>
      <c r="E189" s="4"/>
      <c r="F189" s="4"/>
      <c r="G189" s="4"/>
      <c r="H189" s="4"/>
    </row>
    <row r="190">
      <c r="A190" s="4"/>
      <c r="B190" s="47"/>
      <c r="C190" s="4"/>
      <c r="D190" s="4"/>
      <c r="E190" s="4"/>
      <c r="F190" s="4"/>
      <c r="G190" s="4"/>
      <c r="H190" s="4"/>
    </row>
    <row r="191">
      <c r="A191" s="4"/>
      <c r="B191" s="47"/>
      <c r="C191" s="4"/>
      <c r="D191" s="4"/>
      <c r="E191" s="4"/>
      <c r="F191" s="4"/>
      <c r="G191" s="4"/>
      <c r="H191" s="4"/>
    </row>
    <row r="192">
      <c r="A192" s="4"/>
      <c r="B192" s="47"/>
      <c r="C192" s="4"/>
      <c r="D192" s="4"/>
      <c r="E192" s="4"/>
      <c r="F192" s="4"/>
      <c r="G192" s="4"/>
      <c r="H192" s="4"/>
    </row>
    <row r="193">
      <c r="A193" s="4"/>
      <c r="B193" s="47"/>
      <c r="C193" s="4"/>
      <c r="D193" s="4"/>
      <c r="E193" s="4"/>
      <c r="F193" s="4"/>
      <c r="G193" s="4"/>
      <c r="H193" s="4"/>
    </row>
    <row r="194">
      <c r="A194" s="4"/>
      <c r="B194" s="47"/>
      <c r="C194" s="4"/>
      <c r="D194" s="4"/>
      <c r="E194" s="4"/>
      <c r="F194" s="4"/>
      <c r="G194" s="4"/>
      <c r="H194" s="4"/>
    </row>
    <row r="195">
      <c r="A195" s="4"/>
      <c r="B195" s="47"/>
      <c r="C195" s="4"/>
      <c r="D195" s="4"/>
      <c r="E195" s="4"/>
      <c r="F195" s="4"/>
      <c r="G195" s="4"/>
      <c r="H195" s="4"/>
    </row>
    <row r="196">
      <c r="A196" s="4"/>
      <c r="B196" s="47"/>
      <c r="C196" s="4"/>
      <c r="D196" s="4"/>
      <c r="E196" s="4"/>
      <c r="F196" s="4"/>
      <c r="G196" s="4"/>
      <c r="H196" s="4"/>
    </row>
    <row r="197">
      <c r="A197" s="4"/>
      <c r="B197" s="47"/>
      <c r="C197" s="4"/>
      <c r="D197" s="4"/>
      <c r="E197" s="4"/>
      <c r="F197" s="4"/>
      <c r="G197" s="4"/>
      <c r="H197" s="4"/>
    </row>
    <row r="198">
      <c r="A198" s="4"/>
      <c r="B198" s="47"/>
      <c r="C198" s="4"/>
      <c r="D198" s="4"/>
      <c r="E198" s="4"/>
      <c r="F198" s="4"/>
      <c r="G198" s="4"/>
      <c r="H198" s="4"/>
    </row>
    <row r="199">
      <c r="A199" s="4"/>
      <c r="B199" s="47"/>
      <c r="C199" s="4"/>
      <c r="D199" s="4"/>
      <c r="E199" s="4"/>
      <c r="F199" s="4"/>
      <c r="G199" s="4"/>
      <c r="H199" s="4"/>
    </row>
    <row r="200">
      <c r="A200" s="4"/>
      <c r="B200" s="47"/>
      <c r="C200" s="4"/>
      <c r="D200" s="4"/>
      <c r="E200" s="4"/>
      <c r="F200" s="4"/>
      <c r="G200" s="4"/>
      <c r="H200" s="4"/>
    </row>
    <row r="201">
      <c r="A201" s="4"/>
      <c r="B201" s="47"/>
      <c r="C201" s="4"/>
      <c r="D201" s="4"/>
      <c r="E201" s="4"/>
      <c r="F201" s="4"/>
      <c r="G201" s="4"/>
      <c r="H201" s="4"/>
    </row>
    <row r="202">
      <c r="A202" s="4"/>
      <c r="B202" s="47"/>
      <c r="C202" s="4"/>
      <c r="D202" s="4"/>
      <c r="E202" s="4"/>
      <c r="F202" s="4"/>
      <c r="G202" s="4"/>
      <c r="H202" s="4"/>
    </row>
    <row r="203">
      <c r="A203" s="4"/>
      <c r="B203" s="47"/>
      <c r="C203" s="4"/>
      <c r="D203" s="4"/>
      <c r="E203" s="4"/>
      <c r="F203" s="4"/>
      <c r="G203" s="4"/>
      <c r="H203" s="4"/>
    </row>
    <row r="204">
      <c r="A204" s="4"/>
      <c r="B204" s="47"/>
      <c r="C204" s="4"/>
      <c r="D204" s="4"/>
      <c r="E204" s="4"/>
      <c r="F204" s="4"/>
      <c r="G204" s="4"/>
      <c r="H204" s="4"/>
    </row>
    <row r="205">
      <c r="A205" s="4"/>
      <c r="B205" s="47"/>
      <c r="C205" s="4"/>
      <c r="D205" s="4"/>
      <c r="E205" s="4"/>
      <c r="F205" s="4"/>
      <c r="G205" s="4"/>
      <c r="H205" s="4"/>
    </row>
    <row r="206">
      <c r="A206" s="4"/>
      <c r="B206" s="47"/>
      <c r="C206" s="4"/>
      <c r="D206" s="4"/>
      <c r="E206" s="4"/>
      <c r="F206" s="4"/>
      <c r="G206" s="4"/>
      <c r="H206" s="4"/>
    </row>
    <row r="207">
      <c r="A207" s="4"/>
      <c r="B207" s="47"/>
      <c r="C207" s="4"/>
      <c r="D207" s="4"/>
      <c r="E207" s="4"/>
      <c r="F207" s="4"/>
      <c r="G207" s="4"/>
      <c r="H207" s="4"/>
    </row>
    <row r="208">
      <c r="A208" s="4"/>
      <c r="B208" s="47"/>
      <c r="C208" s="4"/>
      <c r="D208" s="4"/>
      <c r="E208" s="4"/>
      <c r="F208" s="4"/>
      <c r="G208" s="4"/>
      <c r="H208" s="4"/>
    </row>
    <row r="209">
      <c r="A209" s="4"/>
      <c r="B209" s="47"/>
      <c r="C209" s="4"/>
      <c r="D209" s="4"/>
      <c r="E209" s="4"/>
      <c r="F209" s="4"/>
      <c r="G209" s="4"/>
      <c r="H209" s="4"/>
    </row>
    <row r="210">
      <c r="A210" s="4"/>
      <c r="B210" s="47"/>
      <c r="C210" s="4"/>
      <c r="D210" s="4"/>
      <c r="E210" s="4"/>
      <c r="F210" s="4"/>
      <c r="G210" s="4"/>
      <c r="H210" s="4"/>
    </row>
    <row r="211">
      <c r="A211" s="4"/>
      <c r="B211" s="47"/>
      <c r="C211" s="4"/>
      <c r="D211" s="4"/>
      <c r="E211" s="4"/>
      <c r="F211" s="4"/>
      <c r="G211" s="4"/>
      <c r="H211" s="4"/>
    </row>
    <row r="212">
      <c r="A212" s="4"/>
      <c r="B212" s="47"/>
      <c r="C212" s="4"/>
      <c r="D212" s="4"/>
      <c r="E212" s="4"/>
      <c r="F212" s="4"/>
      <c r="G212" s="4"/>
      <c r="H212" s="4"/>
    </row>
    <row r="213">
      <c r="A213" s="4"/>
      <c r="B213" s="47"/>
      <c r="C213" s="4"/>
      <c r="D213" s="4"/>
      <c r="E213" s="4"/>
      <c r="F213" s="4"/>
      <c r="G213" s="4"/>
      <c r="H213" s="4"/>
    </row>
    <row r="214">
      <c r="A214" s="4"/>
      <c r="B214" s="47"/>
      <c r="C214" s="4"/>
      <c r="D214" s="4"/>
      <c r="E214" s="4"/>
      <c r="F214" s="4"/>
      <c r="G214" s="4"/>
      <c r="H214" s="4"/>
    </row>
    <row r="215">
      <c r="A215" s="4"/>
      <c r="B215" s="47"/>
      <c r="C215" s="4"/>
      <c r="D215" s="4"/>
      <c r="E215" s="4"/>
      <c r="F215" s="4"/>
      <c r="G215" s="4"/>
      <c r="H215" s="4"/>
    </row>
    <row r="216">
      <c r="A216" s="4"/>
      <c r="B216" s="47"/>
      <c r="C216" s="4"/>
      <c r="D216" s="4"/>
      <c r="E216" s="4"/>
      <c r="F216" s="4"/>
      <c r="G216" s="4"/>
      <c r="H216" s="4"/>
    </row>
    <row r="217">
      <c r="A217" s="4"/>
      <c r="B217" s="47"/>
      <c r="C217" s="4"/>
      <c r="D217" s="4"/>
      <c r="E217" s="4"/>
      <c r="F217" s="4"/>
      <c r="G217" s="4"/>
      <c r="H217" s="4"/>
    </row>
    <row r="218">
      <c r="A218" s="4"/>
      <c r="B218" s="47"/>
      <c r="C218" s="4"/>
      <c r="D218" s="4"/>
      <c r="E218" s="4"/>
      <c r="F218" s="4"/>
      <c r="G218" s="4"/>
      <c r="H218" s="4"/>
    </row>
    <row r="219">
      <c r="A219" s="4"/>
      <c r="B219" s="47"/>
      <c r="C219" s="4"/>
      <c r="D219" s="4"/>
      <c r="E219" s="4"/>
      <c r="F219" s="4"/>
      <c r="G219" s="4"/>
      <c r="H219" s="4"/>
    </row>
    <row r="220">
      <c r="A220" s="4"/>
      <c r="B220" s="47"/>
      <c r="C220" s="4"/>
      <c r="D220" s="4"/>
      <c r="E220" s="4"/>
      <c r="F220" s="4"/>
      <c r="G220" s="4"/>
      <c r="H220" s="4"/>
    </row>
    <row r="221">
      <c r="A221" s="4"/>
      <c r="B221" s="47"/>
      <c r="C221" s="4"/>
      <c r="D221" s="4"/>
      <c r="E221" s="4"/>
      <c r="F221" s="4"/>
      <c r="G221" s="4"/>
      <c r="H221" s="4"/>
    </row>
    <row r="222">
      <c r="A222" s="4"/>
      <c r="B222" s="47"/>
      <c r="C222" s="4"/>
      <c r="D222" s="4"/>
      <c r="E222" s="4"/>
      <c r="F222" s="4"/>
      <c r="G222" s="4"/>
      <c r="H222" s="4"/>
    </row>
    <row r="223">
      <c r="A223" s="4"/>
      <c r="B223" s="47"/>
      <c r="C223" s="4"/>
      <c r="D223" s="4"/>
      <c r="E223" s="4"/>
      <c r="F223" s="4"/>
      <c r="G223" s="4"/>
      <c r="H223" s="4"/>
    </row>
    <row r="224">
      <c r="A224" s="4"/>
      <c r="B224" s="47"/>
      <c r="C224" s="4"/>
      <c r="D224" s="4"/>
      <c r="E224" s="4"/>
      <c r="F224" s="4"/>
      <c r="G224" s="4"/>
      <c r="H224" s="4"/>
    </row>
    <row r="225">
      <c r="A225" s="4"/>
      <c r="B225" s="47"/>
      <c r="C225" s="4"/>
      <c r="D225" s="4"/>
      <c r="E225" s="4"/>
      <c r="F225" s="4"/>
      <c r="G225" s="4"/>
      <c r="H225" s="4"/>
    </row>
    <row r="226">
      <c r="A226" s="4"/>
      <c r="B226" s="47"/>
      <c r="C226" s="4"/>
      <c r="D226" s="4"/>
      <c r="E226" s="4"/>
      <c r="F226" s="4"/>
      <c r="G226" s="4"/>
      <c r="H226" s="4"/>
    </row>
    <row r="227">
      <c r="A227" s="4"/>
      <c r="B227" s="47"/>
      <c r="C227" s="4"/>
      <c r="D227" s="4"/>
      <c r="E227" s="4"/>
      <c r="F227" s="4"/>
      <c r="G227" s="4"/>
      <c r="H227" s="4"/>
    </row>
    <row r="228">
      <c r="A228" s="4"/>
      <c r="B228" s="47"/>
      <c r="C228" s="4"/>
      <c r="D228" s="4"/>
      <c r="E228" s="4"/>
      <c r="F228" s="4"/>
      <c r="G228" s="4"/>
      <c r="H228" s="4"/>
    </row>
    <row r="229">
      <c r="A229" s="4"/>
      <c r="B229" s="47"/>
      <c r="C229" s="4"/>
      <c r="D229" s="4"/>
      <c r="E229" s="4"/>
      <c r="F229" s="4"/>
      <c r="G229" s="4"/>
      <c r="H229" s="4"/>
    </row>
    <row r="230">
      <c r="A230" s="4"/>
      <c r="B230" s="47"/>
      <c r="C230" s="4"/>
      <c r="D230" s="4"/>
      <c r="E230" s="4"/>
      <c r="F230" s="4"/>
      <c r="G230" s="4"/>
      <c r="H230" s="4"/>
    </row>
    <row r="231">
      <c r="A231" s="4"/>
      <c r="B231" s="47"/>
      <c r="C231" s="4"/>
      <c r="D231" s="4"/>
      <c r="E231" s="4"/>
      <c r="F231" s="4"/>
      <c r="G231" s="4"/>
      <c r="H231" s="4"/>
    </row>
    <row r="232">
      <c r="A232" s="4"/>
      <c r="B232" s="47"/>
      <c r="C232" s="4"/>
      <c r="D232" s="4"/>
      <c r="E232" s="4"/>
      <c r="F232" s="4"/>
      <c r="G232" s="4"/>
      <c r="H232" s="4"/>
    </row>
    <row r="233">
      <c r="A233" s="4"/>
      <c r="B233" s="47"/>
      <c r="C233" s="4"/>
      <c r="D233" s="4"/>
      <c r="E233" s="4"/>
      <c r="F233" s="4"/>
      <c r="G233" s="4"/>
      <c r="H233" s="4"/>
    </row>
    <row r="234">
      <c r="A234" s="4"/>
      <c r="B234" s="47"/>
      <c r="C234" s="4"/>
      <c r="D234" s="4"/>
      <c r="E234" s="4"/>
      <c r="F234" s="4"/>
      <c r="G234" s="4"/>
      <c r="H234" s="4"/>
    </row>
    <row r="235">
      <c r="A235" s="4"/>
      <c r="B235" s="47"/>
      <c r="C235" s="4"/>
      <c r="D235" s="4"/>
      <c r="E235" s="4"/>
      <c r="F235" s="4"/>
      <c r="G235" s="4"/>
      <c r="H235" s="4"/>
    </row>
    <row r="236">
      <c r="A236" s="4"/>
      <c r="B236" s="47"/>
      <c r="C236" s="4"/>
      <c r="D236" s="4"/>
      <c r="E236" s="4"/>
      <c r="F236" s="4"/>
      <c r="G236" s="4"/>
      <c r="H236" s="4"/>
    </row>
    <row r="237">
      <c r="A237" s="4"/>
      <c r="B237" s="47"/>
      <c r="C237" s="4"/>
      <c r="D237" s="4"/>
      <c r="E237" s="4"/>
      <c r="F237" s="4"/>
      <c r="G237" s="4"/>
      <c r="H237" s="4"/>
    </row>
    <row r="238">
      <c r="A238" s="4"/>
      <c r="B238" s="47"/>
      <c r="C238" s="4"/>
      <c r="D238" s="4"/>
      <c r="E238" s="4"/>
      <c r="F238" s="4"/>
      <c r="G238" s="4"/>
      <c r="H238" s="4"/>
    </row>
    <row r="239">
      <c r="A239" s="4"/>
      <c r="B239" s="47"/>
      <c r="C239" s="4"/>
      <c r="D239" s="4"/>
      <c r="E239" s="4"/>
      <c r="F239" s="4"/>
      <c r="G239" s="4"/>
      <c r="H239" s="4"/>
    </row>
    <row r="240">
      <c r="A240" s="4"/>
      <c r="B240" s="47"/>
      <c r="C240" s="4"/>
      <c r="D240" s="4"/>
      <c r="E240" s="4"/>
      <c r="F240" s="4"/>
      <c r="G240" s="4"/>
      <c r="H240" s="4"/>
    </row>
    <row r="241">
      <c r="A241" s="4"/>
      <c r="B241" s="47"/>
      <c r="C241" s="4"/>
      <c r="D241" s="4"/>
      <c r="E241" s="4"/>
      <c r="F241" s="4"/>
      <c r="G241" s="4"/>
      <c r="H241" s="4"/>
    </row>
    <row r="242">
      <c r="A242" s="4"/>
      <c r="B242" s="47"/>
      <c r="C242" s="4"/>
      <c r="D242" s="4"/>
      <c r="E242" s="4"/>
      <c r="F242" s="4"/>
      <c r="G242" s="4"/>
      <c r="H242" s="4"/>
    </row>
    <row r="243">
      <c r="A243" s="4"/>
      <c r="B243" s="47"/>
      <c r="C243" s="4"/>
      <c r="D243" s="4"/>
      <c r="E243" s="4"/>
      <c r="F243" s="4"/>
      <c r="G243" s="4"/>
      <c r="H243" s="4"/>
    </row>
    <row r="244">
      <c r="A244" s="4"/>
      <c r="B244" s="47"/>
      <c r="C244" s="4"/>
      <c r="D244" s="4"/>
      <c r="E244" s="4"/>
      <c r="F244" s="4"/>
      <c r="G244" s="4"/>
      <c r="H244" s="4"/>
    </row>
    <row r="245">
      <c r="A245" s="4"/>
      <c r="B245" s="47"/>
      <c r="C245" s="4"/>
      <c r="D245" s="4"/>
      <c r="E245" s="4"/>
      <c r="F245" s="4"/>
      <c r="G245" s="4"/>
      <c r="H245" s="4"/>
    </row>
    <row r="246">
      <c r="A246" s="4"/>
      <c r="B246" s="47"/>
      <c r="C246" s="4"/>
      <c r="D246" s="4"/>
      <c r="E246" s="4"/>
      <c r="F246" s="4"/>
      <c r="G246" s="4"/>
      <c r="H246" s="4"/>
    </row>
    <row r="247">
      <c r="A247" s="4"/>
      <c r="B247" s="47"/>
      <c r="C247" s="4"/>
      <c r="D247" s="4"/>
      <c r="E247" s="4"/>
      <c r="F247" s="4"/>
      <c r="G247" s="4"/>
      <c r="H247" s="4"/>
    </row>
    <row r="248">
      <c r="A248" s="4"/>
      <c r="B248" s="47"/>
      <c r="C248" s="4"/>
      <c r="D248" s="4"/>
      <c r="E248" s="4"/>
      <c r="F248" s="4"/>
      <c r="G248" s="4"/>
      <c r="H248" s="4"/>
    </row>
    <row r="249">
      <c r="A249" s="4"/>
      <c r="B249" s="47"/>
      <c r="C249" s="4"/>
      <c r="D249" s="4"/>
      <c r="E249" s="4"/>
      <c r="F249" s="4"/>
      <c r="G249" s="4"/>
      <c r="H249" s="4"/>
    </row>
    <row r="250">
      <c r="A250" s="4"/>
      <c r="B250" s="47"/>
      <c r="C250" s="4"/>
      <c r="D250" s="4"/>
      <c r="E250" s="4"/>
      <c r="F250" s="4"/>
      <c r="G250" s="4"/>
      <c r="H250" s="4"/>
    </row>
    <row r="251">
      <c r="A251" s="4"/>
      <c r="B251" s="47"/>
      <c r="C251" s="4"/>
      <c r="D251" s="4"/>
      <c r="E251" s="4"/>
      <c r="F251" s="4"/>
      <c r="G251" s="4"/>
      <c r="H251" s="4"/>
    </row>
    <row r="252">
      <c r="A252" s="4"/>
      <c r="B252" s="47"/>
      <c r="C252" s="4"/>
      <c r="D252" s="4"/>
      <c r="E252" s="4"/>
      <c r="F252" s="4"/>
      <c r="G252" s="4"/>
      <c r="H252" s="4"/>
    </row>
    <row r="253">
      <c r="A253" s="4"/>
      <c r="B253" s="47"/>
      <c r="C253" s="4"/>
      <c r="D253" s="4"/>
      <c r="E253" s="4"/>
      <c r="F253" s="4"/>
      <c r="G253" s="4"/>
      <c r="H253" s="4"/>
    </row>
    <row r="254">
      <c r="A254" s="4"/>
      <c r="B254" s="47"/>
      <c r="C254" s="4"/>
      <c r="D254" s="4"/>
      <c r="E254" s="4"/>
      <c r="F254" s="4"/>
      <c r="G254" s="4"/>
      <c r="H254" s="4"/>
    </row>
    <row r="255">
      <c r="A255" s="4"/>
      <c r="B255" s="47"/>
      <c r="C255" s="4"/>
      <c r="D255" s="4"/>
      <c r="E255" s="4"/>
      <c r="F255" s="4"/>
      <c r="G255" s="4"/>
      <c r="H255" s="4"/>
    </row>
    <row r="256">
      <c r="A256" s="4"/>
      <c r="B256" s="47"/>
      <c r="C256" s="4"/>
      <c r="D256" s="4"/>
      <c r="E256" s="4"/>
      <c r="F256" s="4"/>
      <c r="G256" s="4"/>
      <c r="H256" s="4"/>
    </row>
    <row r="257">
      <c r="A257" s="4"/>
      <c r="B257" s="47"/>
      <c r="C257" s="4"/>
      <c r="D257" s="4"/>
      <c r="E257" s="4"/>
      <c r="F257" s="4"/>
      <c r="G257" s="4"/>
      <c r="H257" s="4"/>
    </row>
    <row r="258">
      <c r="A258" s="4"/>
      <c r="B258" s="47"/>
      <c r="C258" s="4"/>
      <c r="D258" s="4"/>
      <c r="E258" s="4"/>
      <c r="F258" s="4"/>
      <c r="G258" s="4"/>
      <c r="H258" s="4"/>
    </row>
    <row r="259">
      <c r="A259" s="4"/>
      <c r="B259" s="47"/>
      <c r="C259" s="4"/>
      <c r="D259" s="4"/>
      <c r="E259" s="4"/>
      <c r="F259" s="4"/>
      <c r="G259" s="4"/>
      <c r="H259" s="4"/>
    </row>
    <row r="260">
      <c r="A260" s="4"/>
      <c r="B260" s="47"/>
      <c r="C260" s="4"/>
      <c r="D260" s="4"/>
      <c r="E260" s="4"/>
      <c r="F260" s="4"/>
      <c r="G260" s="4"/>
      <c r="H260" s="4"/>
    </row>
    <row r="261">
      <c r="A261" s="4"/>
      <c r="B261" s="47"/>
      <c r="C261" s="4"/>
      <c r="D261" s="4"/>
      <c r="E261" s="4"/>
      <c r="F261" s="4"/>
      <c r="G261" s="4"/>
      <c r="H261" s="4"/>
    </row>
    <row r="262">
      <c r="A262" s="4"/>
      <c r="B262" s="47"/>
      <c r="C262" s="4"/>
      <c r="D262" s="4"/>
      <c r="E262" s="4"/>
      <c r="F262" s="4"/>
      <c r="G262" s="4"/>
      <c r="H262" s="4"/>
    </row>
    <row r="263">
      <c r="A263" s="4"/>
      <c r="B263" s="47"/>
      <c r="C263" s="4"/>
      <c r="D263" s="4"/>
      <c r="E263" s="4"/>
      <c r="F263" s="4"/>
      <c r="G263" s="4"/>
      <c r="H263" s="4"/>
    </row>
    <row r="264">
      <c r="A264" s="4"/>
      <c r="B264" s="47"/>
      <c r="C264" s="4"/>
      <c r="D264" s="4"/>
      <c r="E264" s="4"/>
      <c r="F264" s="4"/>
      <c r="G264" s="4"/>
      <c r="H264" s="4"/>
    </row>
    <row r="265">
      <c r="A265" s="4"/>
      <c r="B265" s="47"/>
      <c r="C265" s="4"/>
      <c r="D265" s="4"/>
      <c r="E265" s="4"/>
      <c r="F265" s="4"/>
      <c r="G265" s="4"/>
      <c r="H265" s="4"/>
    </row>
    <row r="266">
      <c r="A266" s="4"/>
      <c r="B266" s="47"/>
      <c r="C266" s="4"/>
      <c r="D266" s="4"/>
      <c r="E266" s="4"/>
      <c r="F266" s="4"/>
      <c r="G266" s="4"/>
      <c r="H266" s="4"/>
    </row>
    <row r="267">
      <c r="A267" s="4"/>
      <c r="B267" s="47"/>
      <c r="C267" s="4"/>
      <c r="D267" s="4"/>
      <c r="E267" s="4"/>
      <c r="F267" s="4"/>
      <c r="G267" s="4"/>
      <c r="H267" s="4"/>
    </row>
    <row r="268">
      <c r="A268" s="4"/>
      <c r="B268" s="47"/>
      <c r="C268" s="4"/>
      <c r="D268" s="4"/>
      <c r="E268" s="4"/>
      <c r="F268" s="4"/>
      <c r="G268" s="4"/>
      <c r="H268" s="4"/>
    </row>
    <row r="269">
      <c r="A269" s="4"/>
      <c r="B269" s="47"/>
      <c r="C269" s="4"/>
      <c r="D269" s="4"/>
      <c r="E269" s="4"/>
      <c r="F269" s="4"/>
      <c r="G269" s="4"/>
      <c r="H269" s="4"/>
    </row>
    <row r="270">
      <c r="A270" s="4"/>
      <c r="B270" s="47"/>
      <c r="C270" s="4"/>
      <c r="D270" s="4"/>
      <c r="E270" s="4"/>
      <c r="F270" s="4"/>
      <c r="G270" s="4"/>
      <c r="H270" s="4"/>
    </row>
    <row r="271">
      <c r="A271" s="4"/>
      <c r="B271" s="47"/>
      <c r="C271" s="4"/>
      <c r="D271" s="4"/>
      <c r="E271" s="4"/>
      <c r="F271" s="4"/>
      <c r="G271" s="4"/>
      <c r="H271" s="4"/>
    </row>
    <row r="272">
      <c r="A272" s="4"/>
      <c r="B272" s="47"/>
      <c r="C272" s="4"/>
      <c r="D272" s="4"/>
      <c r="E272" s="4"/>
      <c r="F272" s="4"/>
      <c r="G272" s="4"/>
      <c r="H272" s="4"/>
    </row>
    <row r="273">
      <c r="A273" s="4"/>
      <c r="B273" s="47"/>
      <c r="C273" s="4"/>
      <c r="D273" s="4"/>
      <c r="E273" s="4"/>
      <c r="F273" s="4"/>
      <c r="G273" s="4"/>
      <c r="H273" s="4"/>
    </row>
    <row r="274">
      <c r="A274" s="4"/>
      <c r="B274" s="47"/>
      <c r="C274" s="4"/>
      <c r="D274" s="4"/>
      <c r="E274" s="4"/>
      <c r="F274" s="4"/>
      <c r="G274" s="4"/>
      <c r="H274" s="4"/>
    </row>
    <row r="275">
      <c r="A275" s="4"/>
      <c r="B275" s="47"/>
      <c r="C275" s="4"/>
      <c r="D275" s="4"/>
      <c r="E275" s="4"/>
      <c r="F275" s="4"/>
      <c r="G275" s="4"/>
      <c r="H275" s="4"/>
    </row>
    <row r="276">
      <c r="A276" s="4"/>
      <c r="B276" s="47"/>
      <c r="C276" s="4"/>
      <c r="D276" s="4"/>
      <c r="E276" s="4"/>
      <c r="F276" s="4"/>
      <c r="G276" s="4"/>
      <c r="H276" s="4"/>
    </row>
    <row r="277">
      <c r="A277" s="4"/>
      <c r="B277" s="47"/>
      <c r="C277" s="4"/>
      <c r="D277" s="4"/>
      <c r="E277" s="4"/>
      <c r="F277" s="4"/>
      <c r="G277" s="4"/>
      <c r="H277" s="4"/>
    </row>
    <row r="278">
      <c r="A278" s="4"/>
      <c r="B278" s="47"/>
      <c r="C278" s="4"/>
      <c r="D278" s="4"/>
      <c r="E278" s="4"/>
      <c r="F278" s="4"/>
      <c r="G278" s="4"/>
      <c r="H278" s="4"/>
    </row>
    <row r="279">
      <c r="A279" s="4"/>
      <c r="B279" s="47"/>
      <c r="C279" s="4"/>
      <c r="D279" s="4"/>
      <c r="E279" s="4"/>
      <c r="F279" s="4"/>
      <c r="G279" s="4"/>
      <c r="H279" s="4"/>
    </row>
    <row r="280">
      <c r="A280" s="4"/>
      <c r="B280" s="47"/>
      <c r="C280" s="4"/>
      <c r="D280" s="4"/>
      <c r="E280" s="4"/>
      <c r="F280" s="4"/>
      <c r="G280" s="4"/>
      <c r="H280" s="4"/>
    </row>
    <row r="281">
      <c r="A281" s="4"/>
      <c r="B281" s="47"/>
      <c r="C281" s="4"/>
      <c r="D281" s="4"/>
      <c r="E281" s="4"/>
      <c r="F281" s="4"/>
      <c r="G281" s="4"/>
      <c r="H281" s="4"/>
    </row>
    <row r="282">
      <c r="A282" s="4"/>
      <c r="B282" s="47"/>
      <c r="C282" s="4"/>
      <c r="D282" s="4"/>
      <c r="E282" s="4"/>
      <c r="F282" s="4"/>
      <c r="G282" s="4"/>
      <c r="H282" s="4"/>
    </row>
    <row r="283">
      <c r="A283" s="4"/>
      <c r="B283" s="47"/>
      <c r="C283" s="4"/>
      <c r="D283" s="4"/>
      <c r="E283" s="4"/>
      <c r="F283" s="4"/>
      <c r="G283" s="4"/>
      <c r="H283" s="4"/>
    </row>
    <row r="284">
      <c r="A284" s="4"/>
      <c r="B284" s="47"/>
      <c r="C284" s="4"/>
      <c r="D284" s="4"/>
      <c r="E284" s="4"/>
      <c r="F284" s="4"/>
      <c r="G284" s="4"/>
      <c r="H284" s="4"/>
    </row>
    <row r="285">
      <c r="A285" s="4"/>
      <c r="B285" s="47"/>
      <c r="C285" s="4"/>
      <c r="D285" s="4"/>
      <c r="E285" s="4"/>
      <c r="F285" s="4"/>
      <c r="G285" s="4"/>
      <c r="H285" s="4"/>
    </row>
    <row r="286">
      <c r="A286" s="4"/>
      <c r="B286" s="47"/>
      <c r="C286" s="4"/>
      <c r="D286" s="4"/>
      <c r="E286" s="4"/>
      <c r="F286" s="4"/>
      <c r="G286" s="4"/>
      <c r="H286" s="4"/>
    </row>
    <row r="287">
      <c r="A287" s="4"/>
      <c r="B287" s="47"/>
      <c r="C287" s="4"/>
      <c r="D287" s="4"/>
      <c r="E287" s="4"/>
      <c r="F287" s="4"/>
      <c r="G287" s="4"/>
      <c r="H287" s="4"/>
    </row>
    <row r="288">
      <c r="A288" s="4"/>
      <c r="B288" s="47"/>
      <c r="C288" s="4"/>
      <c r="D288" s="4"/>
      <c r="E288" s="4"/>
      <c r="F288" s="4"/>
      <c r="G288" s="4"/>
      <c r="H288" s="4"/>
    </row>
    <row r="289">
      <c r="A289" s="4"/>
      <c r="B289" s="47"/>
      <c r="C289" s="4"/>
      <c r="D289" s="4"/>
      <c r="E289" s="4"/>
      <c r="F289" s="4"/>
      <c r="G289" s="4"/>
      <c r="H289" s="4"/>
    </row>
    <row r="290">
      <c r="A290" s="4"/>
      <c r="B290" s="47"/>
      <c r="C290" s="4"/>
      <c r="D290" s="4"/>
      <c r="E290" s="4"/>
      <c r="F290" s="4"/>
      <c r="G290" s="4"/>
      <c r="H290" s="4"/>
    </row>
    <row r="291">
      <c r="A291" s="4"/>
      <c r="B291" s="47"/>
      <c r="C291" s="4"/>
      <c r="D291" s="4"/>
      <c r="E291" s="4"/>
      <c r="F291" s="4"/>
      <c r="G291" s="4"/>
      <c r="H291" s="4"/>
    </row>
    <row r="292">
      <c r="A292" s="4"/>
      <c r="B292" s="47"/>
      <c r="C292" s="4"/>
      <c r="D292" s="4"/>
      <c r="E292" s="4"/>
      <c r="F292" s="4"/>
      <c r="G292" s="4"/>
      <c r="H292" s="4"/>
    </row>
    <row r="293">
      <c r="A293" s="4"/>
      <c r="B293" s="47"/>
      <c r="C293" s="4"/>
      <c r="D293" s="4"/>
      <c r="E293" s="4"/>
      <c r="F293" s="4"/>
      <c r="G293" s="4"/>
      <c r="H293" s="4"/>
    </row>
    <row r="294">
      <c r="A294" s="4"/>
      <c r="B294" s="47"/>
      <c r="C294" s="4"/>
      <c r="D294" s="4"/>
      <c r="E294" s="4"/>
      <c r="F294" s="4"/>
      <c r="G294" s="4"/>
      <c r="H294" s="4"/>
    </row>
    <row r="295">
      <c r="A295" s="4"/>
      <c r="B295" s="47"/>
      <c r="C295" s="4"/>
      <c r="D295" s="4"/>
      <c r="E295" s="4"/>
      <c r="F295" s="4"/>
      <c r="G295" s="4"/>
      <c r="H295" s="4"/>
    </row>
    <row r="296">
      <c r="A296" s="4"/>
      <c r="B296" s="47"/>
      <c r="C296" s="4"/>
      <c r="D296" s="4"/>
      <c r="E296" s="4"/>
      <c r="F296" s="4"/>
      <c r="G296" s="4"/>
      <c r="H296" s="4"/>
    </row>
    <row r="297">
      <c r="A297" s="4"/>
      <c r="B297" s="47"/>
      <c r="C297" s="4"/>
      <c r="D297" s="4"/>
      <c r="E297" s="4"/>
      <c r="F297" s="4"/>
      <c r="G297" s="4"/>
      <c r="H297" s="4"/>
    </row>
    <row r="298">
      <c r="A298" s="4"/>
      <c r="B298" s="47"/>
      <c r="C298" s="4"/>
      <c r="D298" s="4"/>
      <c r="E298" s="4"/>
      <c r="F298" s="4"/>
      <c r="G298" s="4"/>
      <c r="H298" s="4"/>
    </row>
    <row r="299">
      <c r="A299" s="4"/>
      <c r="B299" s="47"/>
      <c r="C299" s="4"/>
      <c r="D299" s="4"/>
      <c r="E299" s="4"/>
      <c r="F299" s="4"/>
      <c r="G299" s="4"/>
      <c r="H299" s="4"/>
    </row>
    <row r="300">
      <c r="A300" s="4"/>
      <c r="B300" s="47"/>
      <c r="C300" s="4"/>
      <c r="D300" s="4"/>
      <c r="E300" s="4"/>
      <c r="F300" s="4"/>
      <c r="G300" s="4"/>
      <c r="H300" s="4"/>
    </row>
    <row r="301">
      <c r="A301" s="4"/>
      <c r="B301" s="47"/>
      <c r="C301" s="4"/>
      <c r="D301" s="4"/>
      <c r="E301" s="4"/>
      <c r="F301" s="4"/>
      <c r="G301" s="4"/>
      <c r="H301" s="4"/>
    </row>
    <row r="302">
      <c r="A302" s="4"/>
      <c r="B302" s="47"/>
      <c r="C302" s="4"/>
      <c r="D302" s="4"/>
      <c r="E302" s="4"/>
      <c r="F302" s="4"/>
      <c r="G302" s="4"/>
      <c r="H302" s="4"/>
    </row>
    <row r="303">
      <c r="A303" s="4"/>
      <c r="B303" s="47"/>
      <c r="C303" s="4"/>
      <c r="D303" s="4"/>
      <c r="E303" s="4"/>
      <c r="F303" s="4"/>
      <c r="G303" s="4"/>
      <c r="H303" s="4"/>
    </row>
    <row r="304">
      <c r="A304" s="4"/>
      <c r="B304" s="47"/>
      <c r="C304" s="4"/>
      <c r="D304" s="4"/>
      <c r="E304" s="4"/>
      <c r="F304" s="4"/>
      <c r="G304" s="4"/>
      <c r="H304" s="4"/>
    </row>
    <row r="305">
      <c r="A305" s="4"/>
      <c r="B305" s="47"/>
      <c r="C305" s="4"/>
      <c r="D305" s="4"/>
      <c r="E305" s="4"/>
      <c r="F305" s="4"/>
      <c r="G305" s="4"/>
      <c r="H305" s="4"/>
    </row>
    <row r="306">
      <c r="A306" s="4"/>
      <c r="B306" s="47"/>
      <c r="C306" s="4"/>
      <c r="D306" s="4"/>
      <c r="E306" s="4"/>
      <c r="F306" s="4"/>
      <c r="G306" s="4"/>
      <c r="H306" s="4"/>
    </row>
    <row r="307">
      <c r="A307" s="4"/>
      <c r="B307" s="47"/>
      <c r="C307" s="4"/>
      <c r="D307" s="4"/>
      <c r="E307" s="4"/>
      <c r="F307" s="4"/>
      <c r="G307" s="4"/>
      <c r="H307" s="4"/>
    </row>
    <row r="308">
      <c r="A308" s="4"/>
      <c r="B308" s="47"/>
      <c r="C308" s="4"/>
      <c r="D308" s="4"/>
      <c r="E308" s="4"/>
      <c r="F308" s="4"/>
      <c r="G308" s="4"/>
      <c r="H308" s="4"/>
    </row>
    <row r="309">
      <c r="A309" s="4"/>
      <c r="B309" s="47"/>
      <c r="C309" s="4"/>
      <c r="D309" s="4"/>
      <c r="E309" s="4"/>
      <c r="F309" s="4"/>
      <c r="G309" s="4"/>
      <c r="H309" s="4"/>
    </row>
    <row r="310">
      <c r="A310" s="4"/>
      <c r="B310" s="47"/>
      <c r="C310" s="4"/>
      <c r="D310" s="4"/>
      <c r="E310" s="4"/>
      <c r="F310" s="4"/>
      <c r="G310" s="4"/>
      <c r="H310" s="4"/>
    </row>
    <row r="311">
      <c r="A311" s="4"/>
      <c r="B311" s="47"/>
      <c r="C311" s="4"/>
      <c r="D311" s="4"/>
      <c r="E311" s="4"/>
      <c r="F311" s="4"/>
      <c r="G311" s="4"/>
      <c r="H311" s="4"/>
    </row>
    <row r="312">
      <c r="A312" s="4"/>
      <c r="B312" s="47"/>
      <c r="C312" s="4"/>
      <c r="D312" s="4"/>
      <c r="E312" s="4"/>
      <c r="F312" s="4"/>
      <c r="G312" s="4"/>
      <c r="H312" s="4"/>
    </row>
    <row r="313">
      <c r="A313" s="4"/>
      <c r="B313" s="47"/>
      <c r="C313" s="4"/>
      <c r="D313" s="4"/>
      <c r="E313" s="4"/>
      <c r="F313" s="4"/>
      <c r="G313" s="4"/>
      <c r="H313" s="4"/>
    </row>
    <row r="314">
      <c r="A314" s="4"/>
      <c r="B314" s="47"/>
      <c r="C314" s="4"/>
      <c r="D314" s="4"/>
      <c r="E314" s="4"/>
      <c r="F314" s="4"/>
      <c r="G314" s="4"/>
      <c r="H314" s="4"/>
    </row>
    <row r="315">
      <c r="A315" s="4"/>
      <c r="B315" s="47"/>
      <c r="C315" s="4"/>
      <c r="D315" s="4"/>
      <c r="E315" s="4"/>
      <c r="F315" s="4"/>
      <c r="G315" s="4"/>
      <c r="H315" s="4"/>
    </row>
    <row r="316">
      <c r="A316" s="4"/>
      <c r="B316" s="47"/>
      <c r="C316" s="4"/>
      <c r="D316" s="4"/>
      <c r="E316" s="4"/>
      <c r="F316" s="4"/>
      <c r="G316" s="4"/>
      <c r="H316" s="4"/>
    </row>
    <row r="317">
      <c r="A317" s="4"/>
      <c r="B317" s="47"/>
      <c r="C317" s="4"/>
      <c r="D317" s="4"/>
      <c r="E317" s="4"/>
      <c r="F317" s="4"/>
      <c r="G317" s="4"/>
      <c r="H317" s="4"/>
    </row>
    <row r="318">
      <c r="A318" s="4"/>
      <c r="B318" s="47"/>
      <c r="C318" s="4"/>
      <c r="D318" s="4"/>
      <c r="E318" s="4"/>
      <c r="F318" s="4"/>
      <c r="G318" s="4"/>
      <c r="H318" s="4"/>
    </row>
    <row r="319">
      <c r="A319" s="4"/>
      <c r="B319" s="47"/>
      <c r="C319" s="4"/>
      <c r="D319" s="4"/>
      <c r="E319" s="4"/>
      <c r="F319" s="4"/>
      <c r="G319" s="4"/>
      <c r="H319" s="4"/>
    </row>
    <row r="320">
      <c r="A320" s="4"/>
      <c r="B320" s="47"/>
      <c r="C320" s="4"/>
      <c r="D320" s="4"/>
      <c r="E320" s="4"/>
      <c r="F320" s="4"/>
      <c r="G320" s="4"/>
      <c r="H320" s="4"/>
    </row>
    <row r="321">
      <c r="A321" s="4"/>
      <c r="B321" s="47"/>
      <c r="C321" s="4"/>
      <c r="D321" s="4"/>
      <c r="E321" s="4"/>
      <c r="F321" s="4"/>
      <c r="G321" s="4"/>
      <c r="H321" s="4"/>
    </row>
    <row r="322">
      <c r="A322" s="4"/>
      <c r="B322" s="47"/>
      <c r="C322" s="4"/>
      <c r="D322" s="4"/>
      <c r="E322" s="4"/>
      <c r="F322" s="4"/>
      <c r="G322" s="4"/>
      <c r="H322" s="4"/>
    </row>
    <row r="323">
      <c r="A323" s="4"/>
      <c r="B323" s="47"/>
      <c r="C323" s="4"/>
      <c r="D323" s="4"/>
      <c r="E323" s="4"/>
      <c r="F323" s="4"/>
      <c r="G323" s="4"/>
      <c r="H323" s="4"/>
    </row>
    <row r="324">
      <c r="A324" s="4"/>
      <c r="B324" s="47"/>
      <c r="C324" s="4"/>
      <c r="D324" s="4"/>
      <c r="E324" s="4"/>
      <c r="F324" s="4"/>
      <c r="G324" s="4"/>
      <c r="H324" s="4"/>
    </row>
    <row r="325">
      <c r="A325" s="4"/>
      <c r="B325" s="47"/>
      <c r="C325" s="4"/>
      <c r="D325" s="4"/>
      <c r="E325" s="4"/>
      <c r="F325" s="4"/>
      <c r="G325" s="4"/>
      <c r="H325" s="4"/>
    </row>
    <row r="326">
      <c r="A326" s="4"/>
      <c r="B326" s="47"/>
      <c r="C326" s="4"/>
      <c r="D326" s="4"/>
      <c r="E326" s="4"/>
      <c r="F326" s="4"/>
      <c r="G326" s="4"/>
      <c r="H326" s="4"/>
    </row>
    <row r="327">
      <c r="A327" s="4"/>
      <c r="B327" s="47"/>
      <c r="C327" s="4"/>
      <c r="D327" s="4"/>
      <c r="E327" s="4"/>
      <c r="F327" s="4"/>
      <c r="G327" s="4"/>
      <c r="H327" s="4"/>
    </row>
    <row r="328">
      <c r="A328" s="4"/>
      <c r="B328" s="47"/>
      <c r="C328" s="4"/>
      <c r="D328" s="4"/>
      <c r="E328" s="4"/>
      <c r="F328" s="4"/>
      <c r="G328" s="4"/>
      <c r="H328" s="4"/>
    </row>
    <row r="329">
      <c r="A329" s="4"/>
      <c r="B329" s="47"/>
      <c r="C329" s="4"/>
      <c r="D329" s="4"/>
      <c r="E329" s="4"/>
      <c r="F329" s="4"/>
      <c r="G329" s="4"/>
      <c r="H329" s="4"/>
    </row>
    <row r="330">
      <c r="A330" s="4"/>
      <c r="B330" s="47"/>
      <c r="C330" s="4"/>
      <c r="D330" s="4"/>
      <c r="E330" s="4"/>
      <c r="F330" s="4"/>
      <c r="G330" s="4"/>
      <c r="H330" s="4"/>
    </row>
    <row r="331">
      <c r="A331" s="4"/>
      <c r="B331" s="47"/>
      <c r="C331" s="4"/>
      <c r="D331" s="4"/>
      <c r="E331" s="4"/>
      <c r="F331" s="4"/>
      <c r="G331" s="4"/>
      <c r="H331" s="4"/>
    </row>
    <row r="332">
      <c r="A332" s="4"/>
      <c r="B332" s="47"/>
      <c r="C332" s="4"/>
      <c r="D332" s="4"/>
      <c r="E332" s="4"/>
      <c r="F332" s="4"/>
      <c r="G332" s="4"/>
      <c r="H332" s="4"/>
    </row>
    <row r="333">
      <c r="A333" s="4"/>
      <c r="B333" s="47"/>
      <c r="C333" s="4"/>
      <c r="D333" s="4"/>
      <c r="E333" s="4"/>
      <c r="F333" s="4"/>
      <c r="G333" s="4"/>
      <c r="H333" s="4"/>
    </row>
    <row r="334">
      <c r="A334" s="4"/>
      <c r="B334" s="47"/>
      <c r="C334" s="4"/>
      <c r="D334" s="4"/>
      <c r="E334" s="4"/>
      <c r="F334" s="4"/>
      <c r="G334" s="4"/>
      <c r="H334" s="4"/>
    </row>
    <row r="335">
      <c r="A335" s="4"/>
      <c r="B335" s="47"/>
      <c r="C335" s="4"/>
      <c r="D335" s="4"/>
      <c r="E335" s="4"/>
      <c r="F335" s="4"/>
      <c r="G335" s="4"/>
      <c r="H335" s="4"/>
    </row>
    <row r="336">
      <c r="A336" s="4"/>
      <c r="B336" s="47"/>
      <c r="C336" s="4"/>
      <c r="D336" s="4"/>
      <c r="E336" s="4"/>
      <c r="F336" s="4"/>
      <c r="G336" s="4"/>
      <c r="H336" s="4"/>
    </row>
    <row r="337">
      <c r="A337" s="4"/>
      <c r="B337" s="47"/>
      <c r="C337" s="4"/>
      <c r="D337" s="4"/>
      <c r="E337" s="4"/>
      <c r="F337" s="4"/>
      <c r="G337" s="4"/>
      <c r="H337" s="4"/>
    </row>
    <row r="338">
      <c r="A338" s="4"/>
      <c r="B338" s="47"/>
      <c r="C338" s="4"/>
      <c r="D338" s="4"/>
      <c r="E338" s="4"/>
      <c r="F338" s="4"/>
      <c r="G338" s="4"/>
      <c r="H338" s="4"/>
    </row>
    <row r="339">
      <c r="A339" s="4"/>
      <c r="B339" s="47"/>
      <c r="C339" s="4"/>
      <c r="D339" s="4"/>
      <c r="E339" s="4"/>
      <c r="F339" s="4"/>
      <c r="G339" s="4"/>
      <c r="H339" s="4"/>
    </row>
    <row r="340">
      <c r="A340" s="4"/>
      <c r="B340" s="47"/>
      <c r="C340" s="4"/>
      <c r="D340" s="4"/>
      <c r="E340" s="4"/>
      <c r="F340" s="4"/>
      <c r="G340" s="4"/>
      <c r="H340" s="4"/>
    </row>
    <row r="341">
      <c r="A341" s="4"/>
      <c r="B341" s="47"/>
      <c r="C341" s="4"/>
      <c r="D341" s="4"/>
      <c r="E341" s="4"/>
      <c r="F341" s="4"/>
      <c r="G341" s="4"/>
      <c r="H341" s="4"/>
    </row>
    <row r="342">
      <c r="A342" s="4"/>
      <c r="B342" s="47"/>
      <c r="C342" s="4"/>
      <c r="D342" s="4"/>
      <c r="E342" s="4"/>
      <c r="F342" s="4"/>
      <c r="G342" s="4"/>
      <c r="H342" s="4"/>
    </row>
    <row r="343">
      <c r="A343" s="4"/>
      <c r="B343" s="47"/>
      <c r="C343" s="4"/>
      <c r="D343" s="4"/>
      <c r="E343" s="4"/>
      <c r="F343" s="4"/>
      <c r="G343" s="4"/>
      <c r="H343" s="4"/>
    </row>
    <row r="344">
      <c r="A344" s="4"/>
      <c r="B344" s="47"/>
      <c r="C344" s="4"/>
      <c r="D344" s="4"/>
      <c r="E344" s="4"/>
      <c r="F344" s="4"/>
      <c r="G344" s="4"/>
      <c r="H344" s="4"/>
    </row>
    <row r="345">
      <c r="A345" s="4"/>
      <c r="B345" s="47"/>
      <c r="C345" s="4"/>
      <c r="D345" s="4"/>
      <c r="E345" s="4"/>
      <c r="F345" s="4"/>
      <c r="G345" s="4"/>
      <c r="H345" s="4"/>
    </row>
    <row r="346">
      <c r="A346" s="4"/>
      <c r="B346" s="47"/>
      <c r="C346" s="4"/>
      <c r="D346" s="4"/>
      <c r="E346" s="4"/>
      <c r="F346" s="4"/>
      <c r="G346" s="4"/>
      <c r="H346" s="4"/>
    </row>
    <row r="347">
      <c r="A347" s="4"/>
      <c r="B347" s="47"/>
      <c r="C347" s="4"/>
      <c r="D347" s="4"/>
      <c r="E347" s="4"/>
      <c r="F347" s="4"/>
      <c r="G347" s="4"/>
      <c r="H347" s="4"/>
    </row>
    <row r="348">
      <c r="A348" s="4"/>
      <c r="B348" s="47"/>
      <c r="C348" s="4"/>
      <c r="D348" s="4"/>
      <c r="E348" s="4"/>
      <c r="F348" s="4"/>
      <c r="G348" s="4"/>
      <c r="H348" s="4"/>
    </row>
    <row r="349">
      <c r="A349" s="4"/>
      <c r="B349" s="47"/>
      <c r="C349" s="4"/>
      <c r="D349" s="4"/>
      <c r="E349" s="4"/>
      <c r="F349" s="4"/>
      <c r="G349" s="4"/>
      <c r="H349" s="4"/>
    </row>
    <row r="350">
      <c r="A350" s="4"/>
      <c r="B350" s="47"/>
      <c r="C350" s="4"/>
      <c r="D350" s="4"/>
      <c r="E350" s="4"/>
      <c r="F350" s="4"/>
      <c r="G350" s="4"/>
      <c r="H350" s="4"/>
    </row>
    <row r="351">
      <c r="A351" s="4"/>
      <c r="B351" s="47"/>
      <c r="C351" s="4"/>
      <c r="D351" s="4"/>
      <c r="E351" s="4"/>
      <c r="F351" s="4"/>
      <c r="G351" s="4"/>
      <c r="H351" s="4"/>
    </row>
    <row r="352">
      <c r="A352" s="4"/>
      <c r="B352" s="47"/>
      <c r="C352" s="4"/>
      <c r="D352" s="4"/>
      <c r="E352" s="4"/>
      <c r="F352" s="4"/>
      <c r="G352" s="4"/>
      <c r="H352" s="4"/>
    </row>
    <row r="353">
      <c r="A353" s="4"/>
      <c r="B353" s="47"/>
      <c r="C353" s="4"/>
      <c r="D353" s="4"/>
      <c r="E353" s="4"/>
      <c r="F353" s="4"/>
      <c r="G353" s="4"/>
      <c r="H353" s="4"/>
    </row>
    <row r="354">
      <c r="A354" s="4"/>
      <c r="B354" s="47"/>
      <c r="C354" s="4"/>
      <c r="D354" s="4"/>
      <c r="E354" s="4"/>
      <c r="F354" s="4"/>
      <c r="G354" s="4"/>
      <c r="H354" s="4"/>
    </row>
    <row r="355">
      <c r="A355" s="4"/>
      <c r="B355" s="47"/>
      <c r="C355" s="4"/>
      <c r="D355" s="4"/>
      <c r="E355" s="4"/>
      <c r="F355" s="4"/>
      <c r="G355" s="4"/>
      <c r="H355" s="4"/>
    </row>
    <row r="356">
      <c r="A356" s="4"/>
      <c r="B356" s="47"/>
      <c r="C356" s="4"/>
      <c r="D356" s="4"/>
      <c r="E356" s="4"/>
      <c r="F356" s="4"/>
      <c r="G356" s="4"/>
      <c r="H356" s="4"/>
    </row>
    <row r="357">
      <c r="A357" s="4"/>
      <c r="B357" s="47"/>
      <c r="C357" s="4"/>
      <c r="D357" s="4"/>
      <c r="E357" s="4"/>
      <c r="F357" s="4"/>
      <c r="G357" s="4"/>
      <c r="H357" s="4"/>
    </row>
    <row r="358">
      <c r="A358" s="4"/>
      <c r="B358" s="47"/>
      <c r="C358" s="4"/>
      <c r="D358" s="4"/>
      <c r="E358" s="4"/>
      <c r="F358" s="4"/>
      <c r="G358" s="4"/>
      <c r="H358" s="4"/>
    </row>
    <row r="359">
      <c r="A359" s="4"/>
      <c r="B359" s="47"/>
      <c r="C359" s="4"/>
      <c r="D359" s="4"/>
      <c r="E359" s="4"/>
      <c r="F359" s="4"/>
      <c r="G359" s="4"/>
      <c r="H359" s="4"/>
    </row>
    <row r="360">
      <c r="A360" s="4"/>
      <c r="B360" s="47"/>
      <c r="C360" s="4"/>
      <c r="D360" s="4"/>
      <c r="E360" s="4"/>
      <c r="F360" s="4"/>
      <c r="G360" s="4"/>
      <c r="H360" s="4"/>
    </row>
    <row r="361">
      <c r="A361" s="4"/>
      <c r="B361" s="47"/>
      <c r="C361" s="4"/>
      <c r="D361" s="4"/>
      <c r="E361" s="4"/>
      <c r="F361" s="4"/>
      <c r="G361" s="4"/>
      <c r="H361" s="4"/>
    </row>
    <row r="362">
      <c r="A362" s="4"/>
      <c r="B362" s="47"/>
      <c r="C362" s="4"/>
      <c r="D362" s="4"/>
      <c r="E362" s="4"/>
      <c r="F362" s="4"/>
      <c r="G362" s="4"/>
      <c r="H362" s="4"/>
    </row>
    <row r="363">
      <c r="A363" s="4"/>
      <c r="B363" s="47"/>
      <c r="C363" s="4"/>
      <c r="D363" s="4"/>
      <c r="E363" s="4"/>
      <c r="F363" s="4"/>
      <c r="G363" s="4"/>
      <c r="H363" s="4"/>
    </row>
    <row r="364">
      <c r="A364" s="4"/>
      <c r="B364" s="47"/>
      <c r="C364" s="4"/>
      <c r="D364" s="4"/>
      <c r="E364" s="4"/>
      <c r="F364" s="4"/>
      <c r="G364" s="4"/>
      <c r="H364" s="4"/>
    </row>
    <row r="365">
      <c r="A365" s="4"/>
      <c r="B365" s="47"/>
      <c r="C365" s="4"/>
      <c r="D365" s="4"/>
      <c r="E365" s="4"/>
      <c r="F365" s="4"/>
      <c r="G365" s="4"/>
      <c r="H365" s="4"/>
    </row>
    <row r="366">
      <c r="A366" s="4"/>
      <c r="B366" s="47"/>
      <c r="C366" s="4"/>
      <c r="D366" s="4"/>
      <c r="E366" s="4"/>
      <c r="F366" s="4"/>
      <c r="G366" s="4"/>
      <c r="H366" s="4"/>
    </row>
    <row r="367">
      <c r="A367" s="4"/>
      <c r="B367" s="47"/>
      <c r="C367" s="4"/>
      <c r="D367" s="4"/>
      <c r="E367" s="4"/>
      <c r="F367" s="4"/>
      <c r="G367" s="4"/>
      <c r="H367" s="4"/>
    </row>
    <row r="368">
      <c r="A368" s="4"/>
      <c r="B368" s="47"/>
      <c r="C368" s="4"/>
      <c r="D368" s="4"/>
      <c r="E368" s="4"/>
      <c r="F368" s="4"/>
      <c r="G368" s="4"/>
      <c r="H368" s="4"/>
    </row>
    <row r="369">
      <c r="A369" s="4"/>
      <c r="B369" s="47"/>
      <c r="C369" s="4"/>
      <c r="D369" s="4"/>
      <c r="E369" s="4"/>
      <c r="F369" s="4"/>
      <c r="G369" s="4"/>
      <c r="H369" s="4"/>
    </row>
    <row r="370">
      <c r="A370" s="4"/>
      <c r="B370" s="47"/>
      <c r="C370" s="4"/>
      <c r="D370" s="4"/>
      <c r="E370" s="4"/>
      <c r="F370" s="4"/>
      <c r="G370" s="4"/>
      <c r="H370" s="4"/>
    </row>
    <row r="371">
      <c r="A371" s="4"/>
      <c r="B371" s="47"/>
      <c r="C371" s="4"/>
      <c r="D371" s="4"/>
      <c r="E371" s="4"/>
      <c r="F371" s="4"/>
      <c r="G371" s="4"/>
      <c r="H371" s="4"/>
    </row>
    <row r="372">
      <c r="A372" s="4"/>
      <c r="B372" s="47"/>
      <c r="C372" s="4"/>
      <c r="D372" s="4"/>
      <c r="E372" s="4"/>
      <c r="F372" s="4"/>
      <c r="G372" s="4"/>
      <c r="H372" s="4"/>
    </row>
    <row r="373">
      <c r="A373" s="4"/>
      <c r="B373" s="47"/>
      <c r="C373" s="4"/>
      <c r="D373" s="4"/>
      <c r="E373" s="4"/>
      <c r="F373" s="4"/>
      <c r="G373" s="4"/>
      <c r="H373" s="4"/>
    </row>
    <row r="374">
      <c r="A374" s="4"/>
      <c r="B374" s="47"/>
      <c r="C374" s="4"/>
      <c r="D374" s="4"/>
      <c r="E374" s="4"/>
      <c r="F374" s="4"/>
      <c r="G374" s="4"/>
      <c r="H374" s="4"/>
    </row>
    <row r="375">
      <c r="A375" s="4"/>
      <c r="B375" s="47"/>
      <c r="C375" s="4"/>
      <c r="D375" s="4"/>
      <c r="E375" s="4"/>
      <c r="F375" s="4"/>
      <c r="G375" s="4"/>
      <c r="H375" s="4"/>
    </row>
    <row r="376">
      <c r="A376" s="4"/>
      <c r="B376" s="47"/>
      <c r="C376" s="4"/>
      <c r="D376" s="4"/>
      <c r="E376" s="4"/>
      <c r="F376" s="4"/>
      <c r="G376" s="4"/>
      <c r="H376" s="4"/>
    </row>
    <row r="377">
      <c r="A377" s="4"/>
      <c r="B377" s="47"/>
      <c r="C377" s="4"/>
      <c r="D377" s="4"/>
      <c r="E377" s="4"/>
      <c r="F377" s="4"/>
      <c r="G377" s="4"/>
      <c r="H377" s="4"/>
    </row>
    <row r="378">
      <c r="A378" s="4"/>
      <c r="B378" s="47"/>
      <c r="C378" s="4"/>
      <c r="D378" s="4"/>
      <c r="E378" s="4"/>
      <c r="F378" s="4"/>
      <c r="G378" s="4"/>
      <c r="H378" s="4"/>
    </row>
    <row r="379">
      <c r="A379" s="4"/>
      <c r="B379" s="47"/>
      <c r="C379" s="4"/>
      <c r="D379" s="4"/>
      <c r="E379" s="4"/>
      <c r="F379" s="4"/>
      <c r="G379" s="4"/>
      <c r="H379" s="4"/>
    </row>
    <row r="380">
      <c r="A380" s="4"/>
      <c r="B380" s="47"/>
      <c r="C380" s="4"/>
      <c r="D380" s="4"/>
      <c r="E380" s="4"/>
      <c r="F380" s="4"/>
      <c r="G380" s="4"/>
      <c r="H380" s="4"/>
    </row>
    <row r="381">
      <c r="A381" s="4"/>
      <c r="B381" s="47"/>
      <c r="C381" s="4"/>
      <c r="D381" s="4"/>
      <c r="E381" s="4"/>
      <c r="F381" s="4"/>
      <c r="G381" s="4"/>
      <c r="H381" s="4"/>
    </row>
    <row r="382">
      <c r="A382" s="4"/>
      <c r="B382" s="47"/>
      <c r="C382" s="4"/>
      <c r="D382" s="4"/>
      <c r="E382" s="4"/>
      <c r="F382" s="4"/>
      <c r="G382" s="4"/>
      <c r="H382" s="4"/>
    </row>
    <row r="383">
      <c r="A383" s="4"/>
      <c r="B383" s="47"/>
      <c r="C383" s="4"/>
      <c r="D383" s="4"/>
      <c r="E383" s="4"/>
      <c r="F383" s="4"/>
      <c r="G383" s="4"/>
      <c r="H383" s="4"/>
    </row>
    <row r="384">
      <c r="A384" s="4"/>
      <c r="B384" s="47"/>
      <c r="C384" s="4"/>
      <c r="D384" s="4"/>
      <c r="E384" s="4"/>
      <c r="F384" s="4"/>
      <c r="G384" s="4"/>
      <c r="H384" s="4"/>
    </row>
    <row r="385">
      <c r="A385" s="4"/>
      <c r="B385" s="47"/>
      <c r="C385" s="4"/>
      <c r="D385" s="4"/>
      <c r="E385" s="4"/>
      <c r="F385" s="4"/>
      <c r="G385" s="4"/>
      <c r="H385" s="4"/>
    </row>
    <row r="386">
      <c r="A386" s="4"/>
      <c r="B386" s="47"/>
      <c r="C386" s="4"/>
      <c r="D386" s="4"/>
      <c r="E386" s="4"/>
      <c r="F386" s="4"/>
      <c r="G386" s="4"/>
      <c r="H386" s="4"/>
    </row>
    <row r="387">
      <c r="A387" s="4"/>
      <c r="B387" s="47"/>
      <c r="C387" s="4"/>
      <c r="D387" s="4"/>
      <c r="E387" s="4"/>
      <c r="F387" s="4"/>
      <c r="G387" s="4"/>
      <c r="H387" s="4"/>
    </row>
    <row r="388">
      <c r="A388" s="4"/>
      <c r="B388" s="47"/>
      <c r="C388" s="4"/>
      <c r="D388" s="4"/>
      <c r="E388" s="4"/>
      <c r="F388" s="4"/>
      <c r="G388" s="4"/>
      <c r="H388" s="4"/>
    </row>
    <row r="389">
      <c r="A389" s="4"/>
      <c r="B389" s="47"/>
      <c r="C389" s="4"/>
      <c r="D389" s="4"/>
      <c r="E389" s="4"/>
      <c r="F389" s="4"/>
      <c r="G389" s="4"/>
      <c r="H389" s="4"/>
    </row>
    <row r="390">
      <c r="A390" s="4"/>
      <c r="B390" s="47"/>
      <c r="C390" s="4"/>
      <c r="D390" s="4"/>
      <c r="E390" s="4"/>
      <c r="F390" s="4"/>
      <c r="G390" s="4"/>
      <c r="H390" s="4"/>
    </row>
    <row r="391">
      <c r="A391" s="4"/>
      <c r="B391" s="47"/>
      <c r="C391" s="4"/>
      <c r="D391" s="4"/>
      <c r="E391" s="4"/>
      <c r="F391" s="4"/>
      <c r="G391" s="4"/>
      <c r="H391" s="4"/>
    </row>
    <row r="392">
      <c r="A392" s="4"/>
      <c r="B392" s="47"/>
      <c r="C392" s="4"/>
      <c r="D392" s="4"/>
      <c r="E392" s="4"/>
      <c r="F392" s="4"/>
      <c r="G392" s="4"/>
      <c r="H392" s="4"/>
    </row>
    <row r="393">
      <c r="A393" s="4"/>
      <c r="B393" s="47"/>
      <c r="C393" s="4"/>
      <c r="D393" s="4"/>
      <c r="E393" s="4"/>
      <c r="F393" s="4"/>
      <c r="G393" s="4"/>
      <c r="H393" s="4"/>
    </row>
    <row r="394">
      <c r="A394" s="4"/>
      <c r="B394" s="47"/>
      <c r="C394" s="4"/>
      <c r="D394" s="4"/>
      <c r="E394" s="4"/>
      <c r="F394" s="4"/>
      <c r="G394" s="4"/>
      <c r="H394" s="4"/>
    </row>
    <row r="395">
      <c r="A395" s="4"/>
      <c r="B395" s="47"/>
      <c r="C395" s="4"/>
      <c r="D395" s="4"/>
      <c r="E395" s="4"/>
      <c r="F395" s="4"/>
      <c r="G395" s="4"/>
      <c r="H395" s="4"/>
    </row>
    <row r="396">
      <c r="A396" s="4"/>
      <c r="B396" s="47"/>
      <c r="C396" s="4"/>
      <c r="D396" s="4"/>
      <c r="E396" s="4"/>
      <c r="F396" s="4"/>
      <c r="G396" s="4"/>
      <c r="H396" s="4"/>
    </row>
    <row r="397">
      <c r="A397" s="4"/>
      <c r="B397" s="47"/>
      <c r="C397" s="4"/>
      <c r="D397" s="4"/>
      <c r="E397" s="4"/>
      <c r="F397" s="4"/>
      <c r="G397" s="4"/>
      <c r="H397" s="4"/>
    </row>
    <row r="398">
      <c r="A398" s="4"/>
      <c r="B398" s="47"/>
      <c r="C398" s="4"/>
      <c r="D398" s="4"/>
      <c r="E398" s="4"/>
      <c r="F398" s="4"/>
      <c r="G398" s="4"/>
      <c r="H398" s="4"/>
    </row>
    <row r="399">
      <c r="A399" s="4"/>
      <c r="B399" s="47"/>
      <c r="C399" s="4"/>
      <c r="D399" s="4"/>
      <c r="E399" s="4"/>
      <c r="F399" s="4"/>
      <c r="G399" s="4"/>
      <c r="H399" s="4"/>
    </row>
    <row r="400">
      <c r="A400" s="4"/>
      <c r="B400" s="47"/>
      <c r="C400" s="4"/>
      <c r="D400" s="4"/>
      <c r="E400" s="4"/>
      <c r="F400" s="4"/>
      <c r="G400" s="4"/>
      <c r="H400" s="4"/>
    </row>
    <row r="401">
      <c r="A401" s="4"/>
      <c r="B401" s="47"/>
      <c r="C401" s="4"/>
      <c r="D401" s="4"/>
      <c r="E401" s="4"/>
      <c r="F401" s="4"/>
      <c r="G401" s="4"/>
      <c r="H401" s="4"/>
    </row>
    <row r="402">
      <c r="A402" s="4"/>
      <c r="B402" s="47"/>
      <c r="C402" s="4"/>
      <c r="D402" s="4"/>
      <c r="E402" s="4"/>
      <c r="F402" s="4"/>
      <c r="G402" s="4"/>
      <c r="H402" s="4"/>
    </row>
    <row r="403">
      <c r="A403" s="4"/>
      <c r="B403" s="47"/>
      <c r="C403" s="4"/>
      <c r="D403" s="4"/>
      <c r="E403" s="4"/>
      <c r="F403" s="4"/>
      <c r="G403" s="4"/>
      <c r="H403" s="4"/>
    </row>
    <row r="404">
      <c r="A404" s="4"/>
      <c r="B404" s="47"/>
      <c r="C404" s="4"/>
      <c r="D404" s="4"/>
      <c r="E404" s="4"/>
      <c r="F404" s="4"/>
      <c r="G404" s="4"/>
      <c r="H404" s="4"/>
    </row>
    <row r="405">
      <c r="A405" s="4"/>
      <c r="B405" s="47"/>
      <c r="C405" s="4"/>
      <c r="D405" s="4"/>
      <c r="E405" s="4"/>
      <c r="F405" s="4"/>
      <c r="G405" s="4"/>
      <c r="H405" s="4"/>
    </row>
    <row r="406">
      <c r="A406" s="4"/>
      <c r="B406" s="47"/>
      <c r="C406" s="4"/>
      <c r="D406" s="4"/>
      <c r="E406" s="4"/>
      <c r="F406" s="4"/>
      <c r="G406" s="4"/>
      <c r="H406" s="4"/>
    </row>
    <row r="407">
      <c r="A407" s="4"/>
      <c r="B407" s="47"/>
      <c r="C407" s="4"/>
      <c r="D407" s="4"/>
      <c r="E407" s="4"/>
      <c r="F407" s="4"/>
      <c r="G407" s="4"/>
      <c r="H407" s="4"/>
    </row>
    <row r="408">
      <c r="A408" s="4"/>
      <c r="B408" s="47"/>
      <c r="C408" s="4"/>
      <c r="D408" s="4"/>
      <c r="E408" s="4"/>
      <c r="F408" s="4"/>
      <c r="G408" s="4"/>
      <c r="H408" s="4"/>
    </row>
    <row r="409">
      <c r="A409" s="4"/>
      <c r="B409" s="47"/>
      <c r="C409" s="4"/>
      <c r="D409" s="4"/>
      <c r="E409" s="4"/>
      <c r="F409" s="4"/>
      <c r="G409" s="4"/>
      <c r="H409" s="4"/>
    </row>
    <row r="410">
      <c r="A410" s="4"/>
      <c r="B410" s="47"/>
      <c r="C410" s="4"/>
      <c r="D410" s="4"/>
      <c r="E410" s="4"/>
      <c r="F410" s="4"/>
      <c r="G410" s="4"/>
      <c r="H410" s="4"/>
    </row>
    <row r="411">
      <c r="A411" s="4"/>
      <c r="B411" s="47"/>
      <c r="C411" s="4"/>
      <c r="D411" s="4"/>
      <c r="E411" s="4"/>
      <c r="F411" s="4"/>
      <c r="G411" s="4"/>
      <c r="H411" s="4"/>
    </row>
    <row r="412">
      <c r="A412" s="4"/>
      <c r="B412" s="47"/>
      <c r="C412" s="4"/>
      <c r="D412" s="4"/>
      <c r="E412" s="4"/>
      <c r="F412" s="4"/>
      <c r="G412" s="4"/>
      <c r="H412" s="4"/>
    </row>
    <row r="413">
      <c r="A413" s="4"/>
      <c r="B413" s="47"/>
      <c r="C413" s="4"/>
      <c r="D413" s="4"/>
      <c r="E413" s="4"/>
      <c r="F413" s="4"/>
      <c r="G413" s="4"/>
      <c r="H413" s="4"/>
    </row>
    <row r="414">
      <c r="A414" s="4"/>
      <c r="B414" s="47"/>
      <c r="C414" s="4"/>
      <c r="D414" s="4"/>
      <c r="E414" s="4"/>
      <c r="F414" s="4"/>
      <c r="G414" s="4"/>
      <c r="H414" s="4"/>
    </row>
    <row r="415">
      <c r="A415" s="4"/>
      <c r="B415" s="47"/>
      <c r="C415" s="4"/>
      <c r="D415" s="4"/>
      <c r="E415" s="4"/>
      <c r="F415" s="4"/>
      <c r="G415" s="4"/>
      <c r="H415" s="4"/>
    </row>
    <row r="416">
      <c r="A416" s="4"/>
      <c r="B416" s="47"/>
      <c r="C416" s="4"/>
      <c r="D416" s="4"/>
      <c r="E416" s="4"/>
      <c r="F416" s="4"/>
      <c r="G416" s="4"/>
      <c r="H416" s="4"/>
    </row>
    <row r="417">
      <c r="A417" s="4"/>
      <c r="B417" s="47"/>
      <c r="C417" s="4"/>
      <c r="D417" s="4"/>
      <c r="E417" s="4"/>
      <c r="F417" s="4"/>
      <c r="G417" s="4"/>
      <c r="H417" s="4"/>
    </row>
    <row r="418">
      <c r="A418" s="4"/>
      <c r="B418" s="47"/>
      <c r="C418" s="4"/>
      <c r="D418" s="4"/>
      <c r="E418" s="4"/>
      <c r="F418" s="4"/>
      <c r="G418" s="4"/>
      <c r="H418" s="4"/>
    </row>
    <row r="419">
      <c r="A419" s="4"/>
      <c r="B419" s="47"/>
      <c r="C419" s="4"/>
      <c r="D419" s="4"/>
      <c r="E419" s="4"/>
      <c r="F419" s="4"/>
      <c r="G419" s="4"/>
      <c r="H419" s="4"/>
    </row>
    <row r="420">
      <c r="A420" s="4"/>
      <c r="B420" s="47"/>
      <c r="C420" s="4"/>
      <c r="D420" s="4"/>
      <c r="E420" s="4"/>
      <c r="F420" s="4"/>
      <c r="G420" s="4"/>
      <c r="H420" s="4"/>
    </row>
    <row r="421">
      <c r="A421" s="4"/>
      <c r="B421" s="47"/>
      <c r="C421" s="4"/>
      <c r="D421" s="4"/>
      <c r="E421" s="4"/>
      <c r="F421" s="4"/>
      <c r="G421" s="4"/>
      <c r="H421" s="4"/>
    </row>
    <row r="422">
      <c r="A422" s="4"/>
      <c r="B422" s="47"/>
      <c r="C422" s="4"/>
      <c r="D422" s="4"/>
      <c r="E422" s="4"/>
      <c r="F422" s="4"/>
      <c r="G422" s="4"/>
      <c r="H422" s="4"/>
    </row>
    <row r="423">
      <c r="A423" s="4"/>
      <c r="B423" s="47"/>
      <c r="C423" s="4"/>
      <c r="D423" s="4"/>
      <c r="E423" s="4"/>
      <c r="F423" s="4"/>
      <c r="G423" s="4"/>
      <c r="H423" s="4"/>
    </row>
    <row r="424">
      <c r="A424" s="4"/>
      <c r="B424" s="47"/>
      <c r="C424" s="4"/>
      <c r="D424" s="4"/>
      <c r="E424" s="4"/>
      <c r="F424" s="4"/>
      <c r="G424" s="4"/>
      <c r="H424" s="4"/>
    </row>
    <row r="425">
      <c r="A425" s="4"/>
      <c r="B425" s="47"/>
      <c r="C425" s="4"/>
      <c r="D425" s="4"/>
      <c r="E425" s="4"/>
      <c r="F425" s="4"/>
      <c r="G425" s="4"/>
      <c r="H425" s="4"/>
    </row>
    <row r="426">
      <c r="A426" s="4"/>
      <c r="B426" s="47"/>
      <c r="C426" s="4"/>
      <c r="D426" s="4"/>
      <c r="E426" s="4"/>
      <c r="F426" s="4"/>
      <c r="G426" s="4"/>
      <c r="H426" s="4"/>
    </row>
    <row r="427">
      <c r="A427" s="4"/>
      <c r="B427" s="47"/>
      <c r="C427" s="4"/>
      <c r="D427" s="4"/>
      <c r="E427" s="4"/>
      <c r="F427" s="4"/>
      <c r="G427" s="4"/>
      <c r="H427" s="4"/>
    </row>
    <row r="428">
      <c r="A428" s="4"/>
      <c r="B428" s="47"/>
      <c r="C428" s="4"/>
      <c r="D428" s="4"/>
      <c r="E428" s="4"/>
      <c r="F428" s="4"/>
      <c r="G428" s="4"/>
      <c r="H428" s="4"/>
    </row>
    <row r="429">
      <c r="A429" s="4"/>
      <c r="B429" s="47"/>
      <c r="C429" s="4"/>
      <c r="D429" s="4"/>
      <c r="E429" s="4"/>
      <c r="F429" s="4"/>
      <c r="G429" s="4"/>
      <c r="H429" s="4"/>
    </row>
    <row r="430">
      <c r="A430" s="4"/>
      <c r="B430" s="47"/>
      <c r="C430" s="4"/>
      <c r="D430" s="4"/>
      <c r="E430" s="4"/>
      <c r="F430" s="4"/>
      <c r="G430" s="4"/>
      <c r="H430" s="4"/>
    </row>
    <row r="431">
      <c r="A431" s="4"/>
      <c r="B431" s="47"/>
      <c r="C431" s="4"/>
      <c r="D431" s="4"/>
      <c r="E431" s="4"/>
      <c r="F431" s="4"/>
      <c r="G431" s="4"/>
      <c r="H431" s="4"/>
    </row>
    <row r="432">
      <c r="A432" s="4"/>
      <c r="B432" s="47"/>
      <c r="C432" s="4"/>
      <c r="D432" s="4"/>
      <c r="E432" s="4"/>
      <c r="F432" s="4"/>
      <c r="G432" s="4"/>
      <c r="H432" s="4"/>
    </row>
    <row r="433">
      <c r="A433" s="4"/>
      <c r="B433" s="47"/>
      <c r="C433" s="4"/>
      <c r="D433" s="4"/>
      <c r="E433" s="4"/>
      <c r="F433" s="4"/>
      <c r="G433" s="4"/>
      <c r="H433" s="4"/>
    </row>
    <row r="434">
      <c r="A434" s="4"/>
      <c r="B434" s="47"/>
      <c r="C434" s="4"/>
      <c r="D434" s="4"/>
      <c r="E434" s="4"/>
      <c r="F434" s="4"/>
      <c r="G434" s="4"/>
      <c r="H434" s="4"/>
    </row>
    <row r="435">
      <c r="A435" s="4"/>
      <c r="B435" s="47"/>
      <c r="C435" s="4"/>
      <c r="D435" s="4"/>
      <c r="E435" s="4"/>
      <c r="F435" s="4"/>
      <c r="G435" s="4"/>
      <c r="H435" s="4"/>
    </row>
    <row r="436">
      <c r="A436" s="4"/>
      <c r="B436" s="47"/>
      <c r="C436" s="4"/>
      <c r="D436" s="4"/>
      <c r="E436" s="4"/>
      <c r="F436" s="4"/>
      <c r="G436" s="4"/>
      <c r="H436" s="4"/>
    </row>
    <row r="437">
      <c r="A437" s="4"/>
      <c r="B437" s="47"/>
      <c r="C437" s="4"/>
      <c r="D437" s="4"/>
      <c r="E437" s="4"/>
      <c r="F437" s="4"/>
      <c r="G437" s="4"/>
      <c r="H437" s="4"/>
    </row>
    <row r="438">
      <c r="A438" s="4"/>
      <c r="B438" s="47"/>
      <c r="C438" s="4"/>
      <c r="D438" s="4"/>
      <c r="E438" s="4"/>
      <c r="F438" s="4"/>
      <c r="G438" s="4"/>
      <c r="H438" s="4"/>
    </row>
    <row r="439">
      <c r="A439" s="4"/>
      <c r="B439" s="47"/>
      <c r="C439" s="4"/>
      <c r="D439" s="4"/>
      <c r="E439" s="4"/>
      <c r="F439" s="4"/>
      <c r="G439" s="4"/>
      <c r="H439" s="4"/>
    </row>
    <row r="440">
      <c r="A440" s="4"/>
      <c r="B440" s="47"/>
      <c r="C440" s="4"/>
      <c r="D440" s="4"/>
      <c r="E440" s="4"/>
      <c r="F440" s="4"/>
      <c r="G440" s="4"/>
      <c r="H440" s="4"/>
    </row>
    <row r="441">
      <c r="A441" s="4"/>
      <c r="B441" s="47"/>
      <c r="C441" s="4"/>
      <c r="D441" s="4"/>
      <c r="E441" s="4"/>
      <c r="F441" s="4"/>
      <c r="G441" s="4"/>
      <c r="H441" s="4"/>
    </row>
    <row r="442">
      <c r="A442" s="4"/>
      <c r="B442" s="47"/>
      <c r="C442" s="4"/>
      <c r="D442" s="4"/>
      <c r="E442" s="4"/>
      <c r="F442" s="4"/>
      <c r="G442" s="4"/>
      <c r="H442" s="4"/>
    </row>
    <row r="443">
      <c r="A443" s="4"/>
      <c r="B443" s="47"/>
      <c r="C443" s="4"/>
      <c r="D443" s="4"/>
      <c r="E443" s="4"/>
      <c r="F443" s="4"/>
      <c r="G443" s="4"/>
      <c r="H443" s="4"/>
    </row>
    <row r="444">
      <c r="A444" s="4"/>
      <c r="B444" s="47"/>
      <c r="C444" s="4"/>
      <c r="D444" s="4"/>
      <c r="E444" s="4"/>
      <c r="F444" s="4"/>
      <c r="G444" s="4"/>
      <c r="H444" s="4"/>
    </row>
    <row r="445">
      <c r="A445" s="4"/>
      <c r="B445" s="47"/>
      <c r="C445" s="4"/>
      <c r="D445" s="4"/>
      <c r="E445" s="4"/>
      <c r="F445" s="4"/>
      <c r="G445" s="4"/>
      <c r="H445" s="4"/>
    </row>
    <row r="446">
      <c r="A446" s="4"/>
      <c r="B446" s="47"/>
      <c r="C446" s="4"/>
      <c r="D446" s="4"/>
      <c r="E446" s="4"/>
      <c r="F446" s="4"/>
      <c r="G446" s="4"/>
      <c r="H446" s="4"/>
    </row>
    <row r="447">
      <c r="A447" s="4"/>
      <c r="B447" s="47"/>
      <c r="C447" s="4"/>
      <c r="D447" s="4"/>
      <c r="E447" s="4"/>
      <c r="F447" s="4"/>
      <c r="G447" s="4"/>
      <c r="H447" s="4"/>
    </row>
    <row r="448">
      <c r="A448" s="4"/>
      <c r="B448" s="47"/>
      <c r="C448" s="4"/>
      <c r="D448" s="4"/>
      <c r="E448" s="4"/>
      <c r="F448" s="4"/>
      <c r="G448" s="4"/>
      <c r="H448" s="4"/>
    </row>
    <row r="449">
      <c r="A449" s="4"/>
      <c r="B449" s="47"/>
      <c r="C449" s="4"/>
      <c r="D449" s="4"/>
      <c r="E449" s="4"/>
      <c r="F449" s="4"/>
      <c r="G449" s="4"/>
      <c r="H449" s="4"/>
    </row>
    <row r="450">
      <c r="A450" s="4"/>
      <c r="B450" s="47"/>
      <c r="C450" s="4"/>
      <c r="D450" s="4"/>
      <c r="E450" s="4"/>
      <c r="F450" s="4"/>
      <c r="G450" s="4"/>
      <c r="H450" s="4"/>
    </row>
    <row r="451">
      <c r="A451" s="4"/>
      <c r="B451" s="47"/>
      <c r="C451" s="4"/>
      <c r="D451" s="4"/>
      <c r="E451" s="4"/>
      <c r="F451" s="4"/>
      <c r="G451" s="4"/>
      <c r="H451" s="4"/>
    </row>
    <row r="452">
      <c r="A452" s="4"/>
      <c r="B452" s="47"/>
      <c r="C452" s="4"/>
      <c r="D452" s="4"/>
      <c r="E452" s="4"/>
      <c r="F452" s="4"/>
      <c r="G452" s="4"/>
      <c r="H452" s="4"/>
    </row>
    <row r="453">
      <c r="A453" s="4"/>
      <c r="B453" s="47"/>
      <c r="C453" s="4"/>
      <c r="D453" s="4"/>
      <c r="E453" s="4"/>
      <c r="F453" s="4"/>
      <c r="G453" s="4"/>
      <c r="H453" s="4"/>
    </row>
    <row r="454">
      <c r="A454" s="4"/>
      <c r="B454" s="47"/>
      <c r="C454" s="4"/>
      <c r="D454" s="4"/>
      <c r="E454" s="4"/>
      <c r="F454" s="4"/>
      <c r="G454" s="4"/>
      <c r="H454" s="4"/>
    </row>
    <row r="455">
      <c r="A455" s="4"/>
      <c r="B455" s="47"/>
      <c r="C455" s="4"/>
      <c r="D455" s="4"/>
      <c r="E455" s="4"/>
      <c r="F455" s="4"/>
      <c r="G455" s="4"/>
      <c r="H455" s="4"/>
    </row>
    <row r="456">
      <c r="A456" s="4"/>
      <c r="B456" s="47"/>
      <c r="C456" s="4"/>
      <c r="D456" s="4"/>
      <c r="E456" s="4"/>
      <c r="F456" s="4"/>
      <c r="G456" s="4"/>
      <c r="H456" s="4"/>
    </row>
    <row r="457">
      <c r="A457" s="4"/>
      <c r="B457" s="47"/>
      <c r="C457" s="4"/>
      <c r="D457" s="4"/>
      <c r="E457" s="4"/>
      <c r="F457" s="4"/>
      <c r="G457" s="4"/>
      <c r="H457" s="4"/>
    </row>
    <row r="458">
      <c r="A458" s="4"/>
      <c r="B458" s="47"/>
      <c r="C458" s="4"/>
      <c r="D458" s="4"/>
      <c r="E458" s="4"/>
      <c r="F458" s="4"/>
      <c r="G458" s="4"/>
      <c r="H458" s="4"/>
    </row>
    <row r="459">
      <c r="A459" s="4"/>
      <c r="B459" s="47"/>
      <c r="C459" s="4"/>
      <c r="D459" s="4"/>
      <c r="E459" s="4"/>
      <c r="F459" s="4"/>
      <c r="G459" s="4"/>
      <c r="H459" s="4"/>
    </row>
    <row r="460">
      <c r="A460" s="4"/>
      <c r="B460" s="47"/>
      <c r="C460" s="4"/>
      <c r="D460" s="4"/>
      <c r="E460" s="4"/>
      <c r="F460" s="4"/>
      <c r="G460" s="4"/>
      <c r="H460" s="4"/>
    </row>
    <row r="461">
      <c r="A461" s="4"/>
      <c r="B461" s="47"/>
      <c r="C461" s="4"/>
      <c r="D461" s="4"/>
      <c r="E461" s="4"/>
      <c r="F461" s="4"/>
      <c r="G461" s="4"/>
      <c r="H461" s="4"/>
    </row>
    <row r="462">
      <c r="A462" s="4"/>
      <c r="B462" s="47"/>
      <c r="C462" s="4"/>
      <c r="D462" s="4"/>
      <c r="E462" s="4"/>
      <c r="F462" s="4"/>
      <c r="G462" s="4"/>
      <c r="H462" s="4"/>
    </row>
    <row r="463">
      <c r="A463" s="4"/>
      <c r="B463" s="47"/>
      <c r="C463" s="4"/>
      <c r="D463" s="4"/>
      <c r="E463" s="4"/>
      <c r="F463" s="4"/>
      <c r="G463" s="4"/>
      <c r="H463" s="4"/>
    </row>
    <row r="464">
      <c r="A464" s="4"/>
      <c r="B464" s="47"/>
      <c r="C464" s="4"/>
      <c r="D464" s="4"/>
      <c r="E464" s="4"/>
      <c r="F464" s="4"/>
      <c r="G464" s="4"/>
      <c r="H464" s="4"/>
    </row>
    <row r="465">
      <c r="A465" s="4"/>
      <c r="B465" s="47"/>
      <c r="C465" s="4"/>
      <c r="D465" s="4"/>
      <c r="E465" s="4"/>
      <c r="F465" s="4"/>
      <c r="G465" s="4"/>
      <c r="H465" s="4"/>
    </row>
    <row r="466">
      <c r="A466" s="4"/>
      <c r="B466" s="47"/>
      <c r="C466" s="4"/>
      <c r="D466" s="4"/>
      <c r="E466" s="4"/>
      <c r="F466" s="4"/>
      <c r="G466" s="4"/>
      <c r="H466" s="4"/>
    </row>
    <row r="467">
      <c r="A467" s="4"/>
      <c r="B467" s="47"/>
      <c r="C467" s="4"/>
      <c r="D467" s="4"/>
      <c r="E467" s="4"/>
      <c r="F467" s="4"/>
      <c r="G467" s="4"/>
      <c r="H467" s="4"/>
    </row>
    <row r="468">
      <c r="A468" s="4"/>
      <c r="B468" s="47"/>
      <c r="C468" s="4"/>
      <c r="D468" s="4"/>
      <c r="E468" s="4"/>
      <c r="F468" s="4"/>
      <c r="G468" s="4"/>
      <c r="H468" s="4"/>
    </row>
    <row r="469">
      <c r="A469" s="4"/>
      <c r="B469" s="47"/>
      <c r="C469" s="4"/>
      <c r="D469" s="4"/>
      <c r="E469" s="4"/>
      <c r="F469" s="4"/>
      <c r="G469" s="4"/>
      <c r="H469" s="4"/>
    </row>
    <row r="470">
      <c r="A470" s="4"/>
      <c r="B470" s="47"/>
      <c r="C470" s="4"/>
      <c r="D470" s="4"/>
      <c r="E470" s="4"/>
      <c r="F470" s="4"/>
      <c r="G470" s="4"/>
      <c r="H470" s="4"/>
    </row>
    <row r="471">
      <c r="A471" s="4"/>
      <c r="B471" s="47"/>
      <c r="C471" s="4"/>
      <c r="D471" s="4"/>
      <c r="E471" s="4"/>
      <c r="F471" s="4"/>
      <c r="G471" s="4"/>
      <c r="H471" s="4"/>
    </row>
    <row r="472">
      <c r="A472" s="4"/>
      <c r="B472" s="47"/>
      <c r="C472" s="4"/>
      <c r="D472" s="4"/>
      <c r="E472" s="4"/>
      <c r="F472" s="4"/>
      <c r="G472" s="4"/>
      <c r="H472" s="4"/>
    </row>
    <row r="473">
      <c r="A473" s="4"/>
      <c r="B473" s="47"/>
      <c r="C473" s="4"/>
      <c r="D473" s="4"/>
      <c r="E473" s="4"/>
      <c r="F473" s="4"/>
      <c r="G473" s="4"/>
      <c r="H473" s="4"/>
    </row>
    <row r="474">
      <c r="A474" s="4"/>
      <c r="B474" s="47"/>
      <c r="C474" s="4"/>
      <c r="D474" s="4"/>
      <c r="E474" s="4"/>
      <c r="F474" s="4"/>
      <c r="G474" s="4"/>
      <c r="H474" s="4"/>
    </row>
    <row r="475">
      <c r="A475" s="4"/>
      <c r="B475" s="47"/>
      <c r="C475" s="4"/>
      <c r="D475" s="4"/>
      <c r="E475" s="4"/>
      <c r="F475" s="4"/>
      <c r="G475" s="4"/>
      <c r="H475" s="4"/>
    </row>
    <row r="476">
      <c r="A476" s="4"/>
      <c r="B476" s="47"/>
      <c r="C476" s="4"/>
      <c r="D476" s="4"/>
      <c r="E476" s="4"/>
      <c r="F476" s="4"/>
      <c r="G476" s="4"/>
      <c r="H476" s="4"/>
    </row>
    <row r="477">
      <c r="A477" s="4"/>
      <c r="B477" s="47"/>
      <c r="C477" s="4"/>
      <c r="D477" s="4"/>
      <c r="E477" s="4"/>
      <c r="F477" s="4"/>
      <c r="G477" s="4"/>
      <c r="H477" s="4"/>
    </row>
    <row r="478">
      <c r="A478" s="4"/>
      <c r="B478" s="47"/>
      <c r="C478" s="4"/>
      <c r="D478" s="4"/>
      <c r="E478" s="4"/>
      <c r="F478" s="4"/>
      <c r="G478" s="4"/>
      <c r="H478" s="4"/>
    </row>
    <row r="479">
      <c r="A479" s="4"/>
      <c r="B479" s="47"/>
      <c r="C479" s="4"/>
      <c r="D479" s="4"/>
      <c r="E479" s="4"/>
      <c r="F479" s="4"/>
      <c r="G479" s="4"/>
      <c r="H479" s="4"/>
    </row>
    <row r="480">
      <c r="A480" s="4"/>
      <c r="B480" s="47"/>
      <c r="C480" s="4"/>
      <c r="D480" s="4"/>
      <c r="E480" s="4"/>
      <c r="F480" s="4"/>
      <c r="G480" s="4"/>
      <c r="H480" s="4"/>
    </row>
    <row r="481">
      <c r="A481" s="4"/>
      <c r="B481" s="47"/>
      <c r="C481" s="4"/>
      <c r="D481" s="4"/>
      <c r="E481" s="4"/>
      <c r="F481" s="4"/>
      <c r="G481" s="4"/>
      <c r="H481" s="4"/>
    </row>
    <row r="482">
      <c r="A482" s="4"/>
      <c r="B482" s="47"/>
      <c r="C482" s="4"/>
      <c r="D482" s="4"/>
      <c r="E482" s="4"/>
      <c r="F482" s="4"/>
      <c r="G482" s="4"/>
      <c r="H482" s="4"/>
    </row>
    <row r="483">
      <c r="A483" s="4"/>
      <c r="B483" s="47"/>
      <c r="C483" s="4"/>
      <c r="D483" s="4"/>
      <c r="E483" s="4"/>
      <c r="F483" s="4"/>
      <c r="G483" s="4"/>
      <c r="H483" s="4"/>
    </row>
    <row r="484">
      <c r="A484" s="4"/>
      <c r="B484" s="47"/>
      <c r="C484" s="4"/>
      <c r="D484" s="4"/>
      <c r="E484" s="4"/>
      <c r="F484" s="4"/>
      <c r="G484" s="4"/>
      <c r="H484" s="4"/>
    </row>
    <row r="485">
      <c r="A485" s="4"/>
      <c r="B485" s="47"/>
      <c r="C485" s="4"/>
      <c r="D485" s="4"/>
      <c r="E485" s="4"/>
      <c r="F485" s="4"/>
      <c r="G485" s="4"/>
      <c r="H485" s="4"/>
    </row>
    <row r="486">
      <c r="A486" s="4"/>
      <c r="B486" s="47"/>
      <c r="C486" s="4"/>
      <c r="D486" s="4"/>
      <c r="E486" s="4"/>
      <c r="F486" s="4"/>
      <c r="G486" s="4"/>
      <c r="H486" s="4"/>
    </row>
    <row r="487">
      <c r="A487" s="4"/>
      <c r="B487" s="47"/>
      <c r="C487" s="4"/>
      <c r="D487" s="4"/>
      <c r="E487" s="4"/>
      <c r="F487" s="4"/>
      <c r="G487" s="4"/>
      <c r="H487" s="4"/>
    </row>
    <row r="488">
      <c r="A488" s="4"/>
      <c r="B488" s="47"/>
      <c r="C488" s="4"/>
      <c r="D488" s="4"/>
      <c r="E488" s="4"/>
      <c r="F488" s="4"/>
      <c r="G488" s="4"/>
      <c r="H488" s="4"/>
    </row>
    <row r="489">
      <c r="A489" s="4"/>
      <c r="B489" s="47"/>
      <c r="C489" s="4"/>
      <c r="D489" s="4"/>
      <c r="E489" s="4"/>
      <c r="F489" s="4"/>
      <c r="G489" s="4"/>
      <c r="H489" s="4"/>
    </row>
    <row r="490">
      <c r="A490" s="4"/>
      <c r="B490" s="47"/>
      <c r="C490" s="4"/>
      <c r="D490" s="4"/>
      <c r="E490" s="4"/>
      <c r="F490" s="4"/>
      <c r="G490" s="4"/>
      <c r="H490" s="4"/>
    </row>
    <row r="491">
      <c r="A491" s="4"/>
      <c r="B491" s="47"/>
      <c r="C491" s="4"/>
      <c r="D491" s="4"/>
      <c r="E491" s="4"/>
      <c r="F491" s="4"/>
      <c r="G491" s="4"/>
      <c r="H491" s="4"/>
    </row>
    <row r="492">
      <c r="A492" s="4"/>
      <c r="B492" s="47"/>
      <c r="C492" s="4"/>
      <c r="D492" s="4"/>
      <c r="E492" s="4"/>
      <c r="F492" s="4"/>
      <c r="G492" s="4"/>
      <c r="H492" s="4"/>
    </row>
    <row r="493">
      <c r="A493" s="4"/>
      <c r="B493" s="47"/>
      <c r="C493" s="4"/>
      <c r="D493" s="4"/>
      <c r="E493" s="4"/>
      <c r="F493" s="4"/>
      <c r="G493" s="4"/>
      <c r="H493" s="4"/>
    </row>
    <row r="494">
      <c r="A494" s="4"/>
      <c r="B494" s="47"/>
      <c r="C494" s="4"/>
      <c r="D494" s="4"/>
      <c r="E494" s="4"/>
      <c r="F494" s="4"/>
      <c r="G494" s="4"/>
      <c r="H494" s="4"/>
    </row>
    <row r="495">
      <c r="A495" s="4"/>
      <c r="B495" s="47"/>
      <c r="C495" s="4"/>
      <c r="D495" s="4"/>
      <c r="E495" s="4"/>
      <c r="F495" s="4"/>
      <c r="G495" s="4"/>
      <c r="H495" s="4"/>
    </row>
    <row r="496">
      <c r="A496" s="4"/>
      <c r="B496" s="47"/>
      <c r="C496" s="4"/>
      <c r="D496" s="4"/>
      <c r="E496" s="4"/>
      <c r="F496" s="4"/>
      <c r="G496" s="4"/>
      <c r="H496" s="4"/>
    </row>
    <row r="497">
      <c r="A497" s="4"/>
      <c r="B497" s="47"/>
      <c r="C497" s="4"/>
      <c r="D497" s="4"/>
      <c r="E497" s="4"/>
      <c r="F497" s="4"/>
      <c r="G497" s="4"/>
      <c r="H497" s="4"/>
    </row>
    <row r="498">
      <c r="A498" s="4"/>
      <c r="B498" s="47"/>
      <c r="C498" s="4"/>
      <c r="D498" s="4"/>
      <c r="E498" s="4"/>
      <c r="F498" s="4"/>
      <c r="G498" s="4"/>
      <c r="H498" s="4"/>
    </row>
    <row r="499">
      <c r="A499" s="4"/>
      <c r="B499" s="47"/>
      <c r="C499" s="4"/>
      <c r="D499" s="4"/>
      <c r="E499" s="4"/>
      <c r="F499" s="4"/>
      <c r="G499" s="4"/>
      <c r="H499" s="4"/>
    </row>
    <row r="500">
      <c r="A500" s="4"/>
      <c r="B500" s="47"/>
      <c r="C500" s="4"/>
      <c r="D500" s="4"/>
      <c r="E500" s="4"/>
      <c r="F500" s="4"/>
      <c r="G500" s="4"/>
      <c r="H500" s="4"/>
    </row>
    <row r="501">
      <c r="A501" s="4"/>
      <c r="B501" s="47"/>
      <c r="C501" s="4"/>
      <c r="D501" s="4"/>
      <c r="E501" s="4"/>
      <c r="F501" s="4"/>
      <c r="G501" s="4"/>
      <c r="H501" s="4"/>
    </row>
    <row r="502">
      <c r="A502" s="4"/>
      <c r="B502" s="47"/>
      <c r="C502" s="4"/>
      <c r="D502" s="4"/>
      <c r="E502" s="4"/>
      <c r="F502" s="4"/>
      <c r="G502" s="4"/>
      <c r="H502" s="4"/>
    </row>
    <row r="503">
      <c r="A503" s="4"/>
      <c r="B503" s="47"/>
      <c r="C503" s="4"/>
      <c r="D503" s="4"/>
      <c r="E503" s="4"/>
      <c r="F503" s="4"/>
      <c r="G503" s="4"/>
      <c r="H503" s="4"/>
    </row>
    <row r="504">
      <c r="A504" s="4"/>
      <c r="B504" s="47"/>
      <c r="C504" s="4"/>
      <c r="D504" s="4"/>
      <c r="E504" s="4"/>
      <c r="F504" s="4"/>
      <c r="G504" s="4"/>
      <c r="H504" s="4"/>
    </row>
    <row r="505">
      <c r="A505" s="4"/>
      <c r="B505" s="47"/>
      <c r="C505" s="4"/>
      <c r="D505" s="4"/>
      <c r="E505" s="4"/>
      <c r="F505" s="4"/>
      <c r="G505" s="4"/>
      <c r="H505" s="4"/>
    </row>
    <row r="506">
      <c r="A506" s="4"/>
      <c r="B506" s="47"/>
      <c r="C506" s="4"/>
      <c r="D506" s="4"/>
      <c r="E506" s="4"/>
      <c r="F506" s="4"/>
      <c r="G506" s="4"/>
      <c r="H506" s="4"/>
    </row>
    <row r="507">
      <c r="A507" s="4"/>
      <c r="B507" s="47"/>
      <c r="C507" s="4"/>
      <c r="D507" s="4"/>
      <c r="E507" s="4"/>
      <c r="F507" s="4"/>
      <c r="G507" s="4"/>
      <c r="H507" s="4"/>
    </row>
    <row r="508">
      <c r="A508" s="4"/>
      <c r="B508" s="47"/>
      <c r="C508" s="4"/>
      <c r="D508" s="4"/>
      <c r="E508" s="4"/>
      <c r="F508" s="4"/>
      <c r="G508" s="4"/>
      <c r="H508" s="4"/>
    </row>
    <row r="509">
      <c r="A509" s="4"/>
      <c r="B509" s="47"/>
      <c r="C509" s="4"/>
      <c r="D509" s="4"/>
      <c r="E509" s="4"/>
      <c r="F509" s="4"/>
      <c r="G509" s="4"/>
      <c r="H509" s="4"/>
    </row>
    <row r="510">
      <c r="A510" s="4"/>
      <c r="B510" s="47"/>
      <c r="C510" s="4"/>
      <c r="D510" s="4"/>
      <c r="E510" s="4"/>
      <c r="F510" s="4"/>
      <c r="G510" s="4"/>
      <c r="H510" s="4"/>
    </row>
    <row r="511">
      <c r="A511" s="4"/>
      <c r="B511" s="47"/>
      <c r="C511" s="4"/>
      <c r="D511" s="4"/>
      <c r="E511" s="4"/>
      <c r="F511" s="4"/>
      <c r="G511" s="4"/>
      <c r="H511" s="4"/>
    </row>
    <row r="512">
      <c r="A512" s="4"/>
      <c r="B512" s="47"/>
      <c r="C512" s="4"/>
      <c r="D512" s="4"/>
      <c r="E512" s="4"/>
      <c r="F512" s="4"/>
      <c r="G512" s="4"/>
      <c r="H512" s="4"/>
    </row>
    <row r="513">
      <c r="A513" s="4"/>
      <c r="B513" s="47"/>
      <c r="C513" s="4"/>
      <c r="D513" s="4"/>
      <c r="E513" s="4"/>
      <c r="F513" s="4"/>
      <c r="G513" s="4"/>
      <c r="H513" s="4"/>
    </row>
    <row r="514">
      <c r="A514" s="4"/>
      <c r="B514" s="47"/>
      <c r="C514" s="4"/>
      <c r="D514" s="4"/>
      <c r="E514" s="4"/>
      <c r="F514" s="4"/>
      <c r="G514" s="4"/>
      <c r="H514" s="4"/>
    </row>
    <row r="515">
      <c r="A515" s="4"/>
      <c r="B515" s="47"/>
      <c r="C515" s="4"/>
      <c r="D515" s="4"/>
      <c r="E515" s="4"/>
      <c r="F515" s="4"/>
      <c r="G515" s="4"/>
      <c r="H515" s="4"/>
    </row>
    <row r="516">
      <c r="A516" s="4"/>
      <c r="B516" s="47"/>
      <c r="C516" s="4"/>
      <c r="D516" s="4"/>
      <c r="E516" s="4"/>
      <c r="F516" s="4"/>
      <c r="G516" s="4"/>
      <c r="H516" s="4"/>
    </row>
    <row r="517">
      <c r="A517" s="4"/>
      <c r="B517" s="47"/>
      <c r="C517" s="4"/>
      <c r="D517" s="4"/>
      <c r="E517" s="4"/>
      <c r="F517" s="4"/>
      <c r="G517" s="4"/>
      <c r="H517" s="4"/>
    </row>
    <row r="518">
      <c r="A518" s="4"/>
      <c r="B518" s="47"/>
      <c r="C518" s="4"/>
      <c r="D518" s="4"/>
      <c r="E518" s="4"/>
      <c r="F518" s="4"/>
      <c r="G518" s="4"/>
      <c r="H518" s="4"/>
    </row>
    <row r="519">
      <c r="A519" s="4"/>
      <c r="B519" s="47"/>
      <c r="C519" s="4"/>
      <c r="D519" s="4"/>
      <c r="E519" s="4"/>
      <c r="F519" s="4"/>
      <c r="G519" s="4"/>
      <c r="H519" s="4"/>
    </row>
    <row r="520">
      <c r="A520" s="4"/>
      <c r="B520" s="47"/>
      <c r="C520" s="4"/>
      <c r="D520" s="4"/>
      <c r="E520" s="4"/>
      <c r="F520" s="4"/>
      <c r="G520" s="4"/>
      <c r="H520" s="4"/>
    </row>
    <row r="521">
      <c r="A521" s="4"/>
      <c r="B521" s="47"/>
      <c r="C521" s="4"/>
      <c r="D521" s="4"/>
      <c r="E521" s="4"/>
      <c r="F521" s="4"/>
      <c r="G521" s="4"/>
      <c r="H521" s="4"/>
    </row>
    <row r="522">
      <c r="A522" s="4"/>
      <c r="B522" s="47"/>
      <c r="C522" s="4"/>
      <c r="D522" s="4"/>
      <c r="E522" s="4"/>
      <c r="F522" s="4"/>
      <c r="G522" s="4"/>
      <c r="H522" s="4"/>
    </row>
    <row r="523">
      <c r="A523" s="4"/>
      <c r="B523" s="47"/>
      <c r="C523" s="4"/>
      <c r="D523" s="4"/>
      <c r="E523" s="4"/>
      <c r="F523" s="4"/>
      <c r="G523" s="4"/>
      <c r="H523" s="4"/>
    </row>
    <row r="524">
      <c r="A524" s="4"/>
      <c r="B524" s="47"/>
      <c r="C524" s="4"/>
      <c r="D524" s="4"/>
      <c r="E524" s="4"/>
      <c r="F524" s="4"/>
      <c r="G524" s="4"/>
      <c r="H524" s="4"/>
    </row>
    <row r="525">
      <c r="A525" s="4"/>
      <c r="B525" s="47"/>
      <c r="C525" s="4"/>
      <c r="D525" s="4"/>
      <c r="E525" s="4"/>
      <c r="F525" s="4"/>
      <c r="G525" s="4"/>
      <c r="H525" s="4"/>
    </row>
    <row r="526">
      <c r="A526" s="4"/>
      <c r="B526" s="47"/>
      <c r="C526" s="4"/>
      <c r="D526" s="4"/>
      <c r="E526" s="4"/>
      <c r="F526" s="4"/>
      <c r="G526" s="4"/>
      <c r="H526" s="4"/>
    </row>
    <row r="527">
      <c r="A527" s="4"/>
      <c r="B527" s="47"/>
      <c r="C527" s="4"/>
      <c r="D527" s="4"/>
      <c r="E527" s="4"/>
      <c r="F527" s="4"/>
      <c r="G527" s="4"/>
      <c r="H527" s="4"/>
    </row>
    <row r="528">
      <c r="A528" s="4"/>
      <c r="B528" s="47"/>
      <c r="C528" s="4"/>
      <c r="D528" s="4"/>
      <c r="E528" s="4"/>
      <c r="F528" s="4"/>
      <c r="G528" s="4"/>
      <c r="H528" s="4"/>
    </row>
    <row r="529">
      <c r="A529" s="4"/>
      <c r="B529" s="47"/>
      <c r="C529" s="4"/>
      <c r="D529" s="4"/>
      <c r="E529" s="4"/>
      <c r="F529" s="4"/>
      <c r="G529" s="4"/>
      <c r="H529" s="4"/>
    </row>
    <row r="530">
      <c r="A530" s="4"/>
      <c r="B530" s="47"/>
      <c r="C530" s="4"/>
      <c r="D530" s="4"/>
      <c r="E530" s="4"/>
      <c r="F530" s="4"/>
      <c r="G530" s="4"/>
      <c r="H530" s="4"/>
    </row>
    <row r="531">
      <c r="A531" s="4"/>
      <c r="B531" s="47"/>
      <c r="C531" s="4"/>
      <c r="D531" s="4"/>
      <c r="E531" s="4"/>
      <c r="F531" s="4"/>
      <c r="G531" s="4"/>
      <c r="H531" s="4"/>
    </row>
    <row r="532">
      <c r="A532" s="4"/>
      <c r="B532" s="47"/>
      <c r="C532" s="4"/>
      <c r="D532" s="4"/>
      <c r="E532" s="4"/>
      <c r="F532" s="4"/>
      <c r="G532" s="4"/>
      <c r="H532" s="4"/>
    </row>
    <row r="533">
      <c r="A533" s="4"/>
      <c r="B533" s="47"/>
      <c r="C533" s="4"/>
      <c r="D533" s="4"/>
      <c r="E533" s="4"/>
      <c r="F533" s="4"/>
      <c r="G533" s="4"/>
      <c r="H533" s="4"/>
    </row>
    <row r="534">
      <c r="A534" s="4"/>
      <c r="B534" s="47"/>
      <c r="C534" s="4"/>
      <c r="D534" s="4"/>
      <c r="E534" s="4"/>
      <c r="F534" s="4"/>
      <c r="G534" s="4"/>
      <c r="H534" s="4"/>
    </row>
    <row r="535">
      <c r="A535" s="4"/>
      <c r="B535" s="47"/>
      <c r="C535" s="4"/>
      <c r="D535" s="4"/>
      <c r="E535" s="4"/>
      <c r="F535" s="4"/>
      <c r="G535" s="4"/>
      <c r="H535" s="4"/>
    </row>
    <row r="536">
      <c r="A536" s="4"/>
      <c r="B536" s="47"/>
      <c r="C536" s="4"/>
      <c r="D536" s="4"/>
      <c r="E536" s="4"/>
      <c r="F536" s="4"/>
      <c r="G536" s="4"/>
      <c r="H536" s="4"/>
    </row>
    <row r="537">
      <c r="A537" s="4"/>
      <c r="B537" s="47"/>
      <c r="C537" s="4"/>
      <c r="D537" s="4"/>
      <c r="E537" s="4"/>
      <c r="F537" s="4"/>
      <c r="G537" s="4"/>
      <c r="H537" s="4"/>
    </row>
    <row r="538">
      <c r="A538" s="4"/>
      <c r="B538" s="47"/>
      <c r="C538" s="4"/>
      <c r="D538" s="4"/>
      <c r="E538" s="4"/>
      <c r="F538" s="4"/>
      <c r="G538" s="4"/>
      <c r="H538" s="4"/>
    </row>
    <row r="539">
      <c r="A539" s="4"/>
      <c r="B539" s="47"/>
      <c r="C539" s="4"/>
      <c r="D539" s="4"/>
      <c r="E539" s="4"/>
      <c r="F539" s="4"/>
      <c r="G539" s="4"/>
      <c r="H539" s="4"/>
    </row>
    <row r="540">
      <c r="A540" s="4"/>
      <c r="B540" s="47"/>
      <c r="C540" s="4"/>
      <c r="D540" s="4"/>
      <c r="E540" s="4"/>
      <c r="F540" s="4"/>
      <c r="G540" s="4"/>
      <c r="H540" s="4"/>
    </row>
    <row r="541">
      <c r="A541" s="4"/>
      <c r="B541" s="47"/>
      <c r="C541" s="4"/>
      <c r="D541" s="4"/>
      <c r="E541" s="4"/>
      <c r="F541" s="4"/>
      <c r="G541" s="4"/>
      <c r="H541" s="4"/>
    </row>
    <row r="542">
      <c r="A542" s="4"/>
      <c r="B542" s="47"/>
      <c r="C542" s="4"/>
      <c r="D542" s="4"/>
      <c r="E542" s="4"/>
      <c r="F542" s="4"/>
      <c r="G542" s="4"/>
      <c r="H542" s="4"/>
    </row>
    <row r="543">
      <c r="A543" s="4"/>
      <c r="B543" s="47"/>
      <c r="C543" s="4"/>
      <c r="D543" s="4"/>
      <c r="E543" s="4"/>
      <c r="F543" s="4"/>
      <c r="G543" s="4"/>
      <c r="H543" s="4"/>
    </row>
    <row r="544">
      <c r="A544" s="4"/>
      <c r="B544" s="47"/>
      <c r="C544" s="4"/>
      <c r="D544" s="4"/>
      <c r="E544" s="4"/>
      <c r="F544" s="4"/>
      <c r="G544" s="4"/>
      <c r="H544" s="4"/>
    </row>
    <row r="545">
      <c r="A545" s="4"/>
      <c r="B545" s="47"/>
      <c r="C545" s="4"/>
      <c r="D545" s="4"/>
      <c r="E545" s="4"/>
      <c r="F545" s="4"/>
      <c r="G545" s="4"/>
      <c r="H545" s="4"/>
    </row>
    <row r="546">
      <c r="A546" s="4"/>
      <c r="B546" s="47"/>
      <c r="C546" s="4"/>
      <c r="D546" s="4"/>
      <c r="E546" s="4"/>
      <c r="F546" s="4"/>
      <c r="G546" s="4"/>
      <c r="H546" s="4"/>
    </row>
    <row r="547">
      <c r="A547" s="4"/>
      <c r="B547" s="47"/>
      <c r="C547" s="4"/>
      <c r="D547" s="4"/>
      <c r="E547" s="4"/>
      <c r="F547" s="4"/>
      <c r="G547" s="4"/>
      <c r="H547" s="4"/>
    </row>
    <row r="548">
      <c r="A548" s="4"/>
      <c r="B548" s="47"/>
      <c r="C548" s="4"/>
      <c r="D548" s="4"/>
      <c r="E548" s="4"/>
      <c r="F548" s="4"/>
      <c r="G548" s="4"/>
      <c r="H548" s="4"/>
    </row>
    <row r="549">
      <c r="A549" s="4"/>
      <c r="B549" s="47"/>
      <c r="C549" s="4"/>
      <c r="D549" s="4"/>
      <c r="E549" s="4"/>
      <c r="F549" s="4"/>
      <c r="G549" s="4"/>
      <c r="H549" s="4"/>
    </row>
    <row r="550">
      <c r="A550" s="4"/>
      <c r="B550" s="47"/>
      <c r="C550" s="4"/>
      <c r="D550" s="4"/>
      <c r="E550" s="4"/>
      <c r="F550" s="4"/>
      <c r="G550" s="4"/>
      <c r="H550" s="4"/>
    </row>
    <row r="551">
      <c r="A551" s="4"/>
      <c r="B551" s="47"/>
      <c r="C551" s="4"/>
      <c r="D551" s="4"/>
      <c r="E551" s="4"/>
      <c r="F551" s="4"/>
      <c r="G551" s="4"/>
      <c r="H551" s="4"/>
    </row>
    <row r="552">
      <c r="A552" s="4"/>
      <c r="B552" s="47"/>
      <c r="C552" s="4"/>
      <c r="D552" s="4"/>
      <c r="E552" s="4"/>
      <c r="F552" s="4"/>
      <c r="G552" s="4"/>
      <c r="H552" s="4"/>
    </row>
    <row r="553">
      <c r="A553" s="4"/>
      <c r="B553" s="47"/>
      <c r="C553" s="4"/>
      <c r="D553" s="4"/>
      <c r="E553" s="4"/>
      <c r="F553" s="4"/>
      <c r="G553" s="4"/>
      <c r="H553" s="4"/>
    </row>
    <row r="554">
      <c r="A554" s="4"/>
      <c r="B554" s="47"/>
      <c r="C554" s="4"/>
      <c r="D554" s="4"/>
      <c r="E554" s="4"/>
      <c r="F554" s="4"/>
      <c r="G554" s="4"/>
      <c r="H554" s="4"/>
    </row>
    <row r="555">
      <c r="A555" s="4"/>
      <c r="B555" s="47"/>
      <c r="C555" s="4"/>
      <c r="D555" s="4"/>
      <c r="E555" s="4"/>
      <c r="F555" s="4"/>
      <c r="G555" s="4"/>
      <c r="H555" s="4"/>
    </row>
    <row r="556">
      <c r="A556" s="4"/>
      <c r="B556" s="47"/>
      <c r="C556" s="4"/>
      <c r="D556" s="4"/>
      <c r="E556" s="4"/>
      <c r="F556" s="4"/>
      <c r="G556" s="4"/>
      <c r="H556" s="4"/>
    </row>
    <row r="557">
      <c r="A557" s="4"/>
      <c r="B557" s="47"/>
      <c r="C557" s="4"/>
      <c r="D557" s="4"/>
      <c r="E557" s="4"/>
      <c r="F557" s="4"/>
      <c r="G557" s="4"/>
      <c r="H557" s="4"/>
    </row>
    <row r="558">
      <c r="A558" s="4"/>
      <c r="B558" s="47"/>
      <c r="C558" s="4"/>
      <c r="D558" s="4"/>
      <c r="E558" s="4"/>
      <c r="F558" s="4"/>
      <c r="G558" s="4"/>
      <c r="H558" s="4"/>
    </row>
    <row r="559">
      <c r="A559" s="4"/>
      <c r="B559" s="47"/>
      <c r="C559" s="4"/>
      <c r="D559" s="4"/>
      <c r="E559" s="4"/>
      <c r="F559" s="4"/>
      <c r="G559" s="4"/>
      <c r="H559" s="4"/>
    </row>
    <row r="560">
      <c r="A560" s="4"/>
      <c r="B560" s="47"/>
      <c r="C560" s="4"/>
      <c r="D560" s="4"/>
      <c r="E560" s="4"/>
      <c r="F560" s="4"/>
      <c r="G560" s="4"/>
      <c r="H560" s="4"/>
    </row>
    <row r="561">
      <c r="A561" s="4"/>
      <c r="B561" s="47"/>
      <c r="C561" s="4"/>
      <c r="D561" s="4"/>
      <c r="E561" s="4"/>
      <c r="F561" s="4"/>
      <c r="G561" s="4"/>
      <c r="H561" s="4"/>
    </row>
    <row r="562">
      <c r="A562" s="4"/>
      <c r="B562" s="47"/>
      <c r="C562" s="4"/>
      <c r="D562" s="4"/>
      <c r="E562" s="4"/>
      <c r="F562" s="4"/>
      <c r="G562" s="4"/>
      <c r="H562" s="4"/>
    </row>
    <row r="563">
      <c r="A563" s="4"/>
      <c r="B563" s="47"/>
      <c r="C563" s="4"/>
      <c r="D563" s="4"/>
      <c r="E563" s="4"/>
      <c r="F563" s="4"/>
      <c r="G563" s="4"/>
      <c r="H563" s="4"/>
    </row>
    <row r="564">
      <c r="A564" s="4"/>
      <c r="B564" s="47"/>
      <c r="C564" s="4"/>
      <c r="D564" s="4"/>
      <c r="E564" s="4"/>
      <c r="F564" s="4"/>
      <c r="G564" s="4"/>
      <c r="H564" s="4"/>
    </row>
    <row r="565">
      <c r="A565" s="4"/>
      <c r="B565" s="47"/>
      <c r="C565" s="4"/>
      <c r="D565" s="4"/>
      <c r="E565" s="4"/>
      <c r="F565" s="4"/>
      <c r="G565" s="4"/>
      <c r="H565" s="4"/>
    </row>
    <row r="566">
      <c r="A566" s="4"/>
      <c r="B566" s="47"/>
      <c r="C566" s="4"/>
      <c r="D566" s="4"/>
      <c r="E566" s="4"/>
      <c r="F566" s="4"/>
      <c r="G566" s="4"/>
      <c r="H566" s="4"/>
    </row>
    <row r="567">
      <c r="A567" s="4"/>
      <c r="B567" s="47"/>
      <c r="C567" s="4"/>
      <c r="D567" s="4"/>
      <c r="E567" s="4"/>
      <c r="F567" s="4"/>
      <c r="G567" s="4"/>
      <c r="H567" s="4"/>
    </row>
    <row r="568">
      <c r="A568" s="4"/>
      <c r="B568" s="47"/>
      <c r="C568" s="4"/>
      <c r="D568" s="4"/>
      <c r="E568" s="4"/>
      <c r="F568" s="4"/>
      <c r="G568" s="4"/>
      <c r="H568" s="4"/>
    </row>
    <row r="569">
      <c r="A569" s="4"/>
      <c r="B569" s="47"/>
      <c r="C569" s="4"/>
      <c r="D569" s="4"/>
      <c r="E569" s="4"/>
      <c r="F569" s="4"/>
      <c r="G569" s="4"/>
      <c r="H569" s="4"/>
    </row>
    <row r="570">
      <c r="A570" s="4"/>
      <c r="B570" s="47"/>
      <c r="C570" s="4"/>
      <c r="D570" s="4"/>
      <c r="E570" s="4"/>
      <c r="F570" s="4"/>
      <c r="G570" s="4"/>
      <c r="H570" s="4"/>
    </row>
    <row r="571">
      <c r="A571" s="4"/>
      <c r="B571" s="47"/>
      <c r="C571" s="4"/>
      <c r="D571" s="4"/>
      <c r="E571" s="4"/>
      <c r="F571" s="4"/>
      <c r="G571" s="4"/>
      <c r="H571" s="4"/>
    </row>
    <row r="572">
      <c r="A572" s="4"/>
      <c r="B572" s="47"/>
      <c r="C572" s="4"/>
      <c r="D572" s="4"/>
      <c r="E572" s="4"/>
      <c r="F572" s="4"/>
      <c r="G572" s="4"/>
      <c r="H572" s="4"/>
    </row>
    <row r="573">
      <c r="A573" s="4"/>
      <c r="B573" s="47"/>
      <c r="C573" s="4"/>
      <c r="D573" s="4"/>
      <c r="E573" s="4"/>
      <c r="F573" s="4"/>
      <c r="G573" s="4"/>
      <c r="H573" s="4"/>
    </row>
    <row r="574">
      <c r="A574" s="4"/>
      <c r="B574" s="47"/>
      <c r="C574" s="4"/>
      <c r="D574" s="4"/>
      <c r="E574" s="4"/>
      <c r="F574" s="4"/>
      <c r="G574" s="4"/>
      <c r="H574" s="4"/>
    </row>
    <row r="575">
      <c r="A575" s="4"/>
      <c r="B575" s="47"/>
      <c r="C575" s="4"/>
      <c r="D575" s="4"/>
      <c r="E575" s="4"/>
      <c r="F575" s="4"/>
      <c r="G575" s="4"/>
      <c r="H575" s="4"/>
    </row>
    <row r="576">
      <c r="A576" s="4"/>
      <c r="B576" s="47"/>
      <c r="C576" s="4"/>
      <c r="D576" s="4"/>
      <c r="E576" s="4"/>
      <c r="F576" s="4"/>
      <c r="G576" s="4"/>
      <c r="H576" s="4"/>
    </row>
    <row r="577">
      <c r="A577" s="4"/>
      <c r="B577" s="47"/>
      <c r="C577" s="4"/>
      <c r="D577" s="4"/>
      <c r="E577" s="4"/>
      <c r="F577" s="4"/>
      <c r="G577" s="4"/>
      <c r="H577" s="4"/>
    </row>
    <row r="578">
      <c r="A578" s="4"/>
      <c r="B578" s="47"/>
      <c r="C578" s="4"/>
      <c r="D578" s="4"/>
      <c r="E578" s="4"/>
      <c r="F578" s="4"/>
      <c r="G578" s="4"/>
      <c r="H578" s="4"/>
    </row>
    <row r="579">
      <c r="A579" s="4"/>
      <c r="B579" s="47"/>
      <c r="C579" s="4"/>
      <c r="D579" s="4"/>
      <c r="E579" s="4"/>
      <c r="F579" s="4"/>
      <c r="G579" s="4"/>
      <c r="H579" s="4"/>
    </row>
    <row r="580">
      <c r="A580" s="4"/>
      <c r="B580" s="47"/>
      <c r="C580" s="4"/>
      <c r="D580" s="4"/>
      <c r="E580" s="4"/>
      <c r="F580" s="4"/>
      <c r="G580" s="4"/>
      <c r="H580" s="4"/>
    </row>
    <row r="581">
      <c r="A581" s="4"/>
      <c r="B581" s="47"/>
      <c r="C581" s="4"/>
      <c r="D581" s="4"/>
      <c r="E581" s="4"/>
      <c r="F581" s="4"/>
      <c r="G581" s="4"/>
      <c r="H581" s="4"/>
    </row>
    <row r="582">
      <c r="A582" s="4"/>
      <c r="B582" s="47"/>
      <c r="C582" s="4"/>
      <c r="D582" s="4"/>
      <c r="E582" s="4"/>
      <c r="F582" s="4"/>
      <c r="G582" s="4"/>
      <c r="H582" s="4"/>
    </row>
    <row r="583">
      <c r="A583" s="4"/>
      <c r="B583" s="47"/>
      <c r="C583" s="4"/>
      <c r="D583" s="4"/>
      <c r="E583" s="4"/>
      <c r="F583" s="4"/>
      <c r="G583" s="4"/>
      <c r="H583" s="4"/>
    </row>
    <row r="584">
      <c r="A584" s="4"/>
      <c r="B584" s="47"/>
      <c r="C584" s="4"/>
      <c r="D584" s="4"/>
      <c r="E584" s="4"/>
      <c r="F584" s="4"/>
      <c r="G584" s="4"/>
      <c r="H584" s="4"/>
    </row>
    <row r="585">
      <c r="A585" s="4"/>
      <c r="B585" s="47"/>
      <c r="C585" s="4"/>
      <c r="D585" s="4"/>
      <c r="E585" s="4"/>
      <c r="F585" s="4"/>
      <c r="G585" s="4"/>
      <c r="H585" s="4"/>
    </row>
    <row r="586">
      <c r="A586" s="4"/>
      <c r="B586" s="47"/>
      <c r="C586" s="4"/>
      <c r="D586" s="4"/>
      <c r="E586" s="4"/>
      <c r="F586" s="4"/>
      <c r="G586" s="4"/>
      <c r="H586" s="4"/>
    </row>
    <row r="587">
      <c r="A587" s="4"/>
      <c r="B587" s="47"/>
      <c r="C587" s="4"/>
      <c r="D587" s="4"/>
      <c r="E587" s="4"/>
      <c r="F587" s="4"/>
      <c r="G587" s="4"/>
      <c r="H587" s="4"/>
    </row>
    <row r="588">
      <c r="A588" s="4"/>
      <c r="B588" s="47"/>
      <c r="C588" s="4"/>
      <c r="D588" s="4"/>
      <c r="E588" s="4"/>
      <c r="F588" s="4"/>
      <c r="G588" s="4"/>
      <c r="H588" s="4"/>
    </row>
    <row r="589">
      <c r="A589" s="4"/>
      <c r="B589" s="47"/>
      <c r="C589" s="4"/>
      <c r="D589" s="4"/>
      <c r="E589" s="4"/>
      <c r="F589" s="4"/>
      <c r="G589" s="4"/>
      <c r="H589" s="4"/>
    </row>
    <row r="590">
      <c r="A590" s="4"/>
      <c r="B590" s="47"/>
      <c r="C590" s="4"/>
      <c r="D590" s="4"/>
      <c r="E590" s="4"/>
      <c r="F590" s="4"/>
      <c r="G590" s="4"/>
      <c r="H590" s="4"/>
    </row>
    <row r="591">
      <c r="A591" s="4"/>
      <c r="B591" s="47"/>
      <c r="C591" s="4"/>
      <c r="D591" s="4"/>
      <c r="E591" s="4"/>
      <c r="F591" s="4"/>
      <c r="G591" s="4"/>
      <c r="H591" s="4"/>
    </row>
    <row r="592">
      <c r="A592" s="4"/>
      <c r="B592" s="47"/>
      <c r="C592" s="4"/>
      <c r="D592" s="4"/>
      <c r="E592" s="4"/>
      <c r="F592" s="4"/>
      <c r="G592" s="4"/>
      <c r="H592" s="4"/>
    </row>
    <row r="593">
      <c r="A593" s="4"/>
      <c r="B593" s="47"/>
      <c r="C593" s="4"/>
      <c r="D593" s="4"/>
      <c r="E593" s="4"/>
      <c r="F593" s="4"/>
      <c r="G593" s="4"/>
      <c r="H593" s="4"/>
    </row>
    <row r="594">
      <c r="A594" s="4"/>
      <c r="B594" s="47"/>
      <c r="C594" s="4"/>
      <c r="D594" s="4"/>
      <c r="E594" s="4"/>
      <c r="F594" s="4"/>
      <c r="G594" s="4"/>
      <c r="H594" s="4"/>
    </row>
    <row r="595">
      <c r="A595" s="4"/>
      <c r="B595" s="47"/>
      <c r="C595" s="4"/>
      <c r="D595" s="4"/>
      <c r="E595" s="4"/>
      <c r="F595" s="4"/>
      <c r="G595" s="4"/>
      <c r="H595" s="4"/>
    </row>
    <row r="596">
      <c r="A596" s="4"/>
      <c r="B596" s="47"/>
      <c r="C596" s="4"/>
      <c r="D596" s="4"/>
      <c r="E596" s="4"/>
      <c r="F596" s="4"/>
      <c r="G596" s="4"/>
      <c r="H596" s="4"/>
    </row>
    <row r="597">
      <c r="A597" s="4"/>
      <c r="B597" s="47"/>
      <c r="C597" s="4"/>
      <c r="D597" s="4"/>
      <c r="E597" s="4"/>
      <c r="F597" s="4"/>
      <c r="G597" s="4"/>
      <c r="H597" s="4"/>
    </row>
    <row r="598">
      <c r="A598" s="4"/>
      <c r="B598" s="47"/>
      <c r="C598" s="4"/>
      <c r="D598" s="4"/>
      <c r="E598" s="4"/>
      <c r="F598" s="4"/>
      <c r="G598" s="4"/>
      <c r="H598" s="4"/>
    </row>
    <row r="599">
      <c r="A599" s="4"/>
      <c r="B599" s="47"/>
      <c r="C599" s="4"/>
      <c r="D599" s="4"/>
      <c r="E599" s="4"/>
      <c r="F599" s="4"/>
      <c r="G599" s="4"/>
      <c r="H599" s="4"/>
    </row>
    <row r="600">
      <c r="A600" s="4"/>
      <c r="B600" s="47"/>
      <c r="C600" s="4"/>
      <c r="D600" s="4"/>
      <c r="E600" s="4"/>
      <c r="F600" s="4"/>
      <c r="G600" s="4"/>
      <c r="H600" s="4"/>
    </row>
    <row r="601">
      <c r="A601" s="4"/>
      <c r="B601" s="47"/>
      <c r="C601" s="4"/>
      <c r="D601" s="4"/>
      <c r="E601" s="4"/>
      <c r="F601" s="4"/>
      <c r="G601" s="4"/>
      <c r="H601" s="4"/>
    </row>
    <row r="602">
      <c r="A602" s="4"/>
      <c r="B602" s="47"/>
      <c r="C602" s="4"/>
      <c r="D602" s="4"/>
      <c r="E602" s="4"/>
      <c r="F602" s="4"/>
      <c r="G602" s="4"/>
      <c r="H602" s="4"/>
    </row>
    <row r="603">
      <c r="A603" s="4"/>
      <c r="B603" s="47"/>
      <c r="C603" s="4"/>
      <c r="D603" s="4"/>
      <c r="E603" s="4"/>
      <c r="F603" s="4"/>
      <c r="G603" s="4"/>
      <c r="H603" s="4"/>
    </row>
    <row r="604">
      <c r="A604" s="4"/>
      <c r="B604" s="47"/>
      <c r="C604" s="4"/>
      <c r="D604" s="4"/>
      <c r="E604" s="4"/>
      <c r="F604" s="4"/>
      <c r="G604" s="4"/>
      <c r="H604" s="4"/>
    </row>
    <row r="605">
      <c r="A605" s="4"/>
      <c r="B605" s="47"/>
      <c r="C605" s="4"/>
      <c r="D605" s="4"/>
      <c r="E605" s="4"/>
      <c r="F605" s="4"/>
      <c r="G605" s="4"/>
      <c r="H605" s="4"/>
    </row>
    <row r="606">
      <c r="A606" s="4"/>
      <c r="B606" s="47"/>
      <c r="C606" s="4"/>
      <c r="D606" s="4"/>
      <c r="E606" s="4"/>
      <c r="F606" s="4"/>
      <c r="G606" s="4"/>
      <c r="H606" s="4"/>
    </row>
    <row r="607">
      <c r="A607" s="4"/>
      <c r="B607" s="47"/>
      <c r="C607" s="4"/>
      <c r="D607" s="4"/>
      <c r="E607" s="4"/>
      <c r="F607" s="4"/>
      <c r="G607" s="4"/>
      <c r="H607" s="4"/>
    </row>
    <row r="608">
      <c r="A608" s="4"/>
      <c r="B608" s="47"/>
      <c r="C608" s="4"/>
      <c r="D608" s="4"/>
      <c r="E608" s="4"/>
      <c r="F608" s="4"/>
      <c r="G608" s="4"/>
      <c r="H608" s="4"/>
    </row>
    <row r="609">
      <c r="A609" s="4"/>
      <c r="B609" s="47"/>
      <c r="C609" s="4"/>
      <c r="D609" s="4"/>
      <c r="E609" s="4"/>
      <c r="F609" s="4"/>
      <c r="G609" s="4"/>
      <c r="H609" s="4"/>
    </row>
    <row r="610">
      <c r="A610" s="4"/>
      <c r="B610" s="47"/>
      <c r="C610" s="4"/>
      <c r="D610" s="4"/>
      <c r="E610" s="4"/>
      <c r="F610" s="4"/>
      <c r="G610" s="4"/>
      <c r="H610" s="4"/>
    </row>
    <row r="611">
      <c r="A611" s="4"/>
      <c r="B611" s="47"/>
      <c r="C611" s="4"/>
      <c r="D611" s="4"/>
      <c r="E611" s="4"/>
      <c r="F611" s="4"/>
      <c r="G611" s="4"/>
      <c r="H611" s="4"/>
    </row>
    <row r="612">
      <c r="A612" s="4"/>
      <c r="B612" s="47"/>
      <c r="C612" s="4"/>
      <c r="D612" s="4"/>
      <c r="E612" s="4"/>
      <c r="F612" s="4"/>
      <c r="G612" s="4"/>
      <c r="H612" s="4"/>
    </row>
    <row r="613">
      <c r="A613" s="4"/>
      <c r="B613" s="47"/>
      <c r="C613" s="4"/>
      <c r="D613" s="4"/>
      <c r="E613" s="4"/>
      <c r="F613" s="4"/>
      <c r="G613" s="4"/>
      <c r="H613" s="4"/>
    </row>
    <row r="614">
      <c r="A614" s="4"/>
      <c r="B614" s="47"/>
      <c r="C614" s="4"/>
      <c r="D614" s="4"/>
      <c r="E614" s="4"/>
      <c r="F614" s="4"/>
      <c r="G614" s="4"/>
      <c r="H614" s="4"/>
    </row>
    <row r="615">
      <c r="A615" s="4"/>
      <c r="B615" s="47"/>
      <c r="C615" s="4"/>
      <c r="D615" s="4"/>
      <c r="E615" s="4"/>
      <c r="F615" s="4"/>
      <c r="G615" s="4"/>
      <c r="H615" s="4"/>
    </row>
    <row r="616">
      <c r="A616" s="4"/>
      <c r="B616" s="47"/>
      <c r="C616" s="4"/>
      <c r="D616" s="4"/>
      <c r="E616" s="4"/>
      <c r="F616" s="4"/>
      <c r="G616" s="4"/>
      <c r="H616" s="4"/>
    </row>
    <row r="617">
      <c r="A617" s="4"/>
      <c r="B617" s="47"/>
      <c r="C617" s="4"/>
      <c r="D617" s="4"/>
      <c r="E617" s="4"/>
      <c r="F617" s="4"/>
      <c r="G617" s="4"/>
      <c r="H617" s="4"/>
    </row>
    <row r="618">
      <c r="A618" s="4"/>
      <c r="B618" s="47"/>
      <c r="C618" s="4"/>
      <c r="D618" s="4"/>
      <c r="E618" s="4"/>
      <c r="F618" s="4"/>
      <c r="G618" s="4"/>
      <c r="H618" s="4"/>
    </row>
    <row r="619">
      <c r="A619" s="4"/>
      <c r="B619" s="47"/>
      <c r="C619" s="4"/>
      <c r="D619" s="4"/>
      <c r="E619" s="4"/>
      <c r="F619" s="4"/>
      <c r="G619" s="4"/>
      <c r="H619" s="4"/>
    </row>
    <row r="620">
      <c r="A620" s="4"/>
      <c r="B620" s="47"/>
      <c r="C620" s="4"/>
      <c r="D620" s="4"/>
      <c r="E620" s="4"/>
      <c r="F620" s="4"/>
      <c r="G620" s="4"/>
      <c r="H620" s="4"/>
    </row>
    <row r="621">
      <c r="A621" s="4"/>
      <c r="B621" s="47"/>
      <c r="C621" s="4"/>
      <c r="D621" s="4"/>
      <c r="E621" s="4"/>
      <c r="F621" s="4"/>
      <c r="G621" s="4"/>
      <c r="H621" s="4"/>
    </row>
    <row r="622">
      <c r="A622" s="4"/>
      <c r="B622" s="47"/>
      <c r="C622" s="4"/>
      <c r="D622" s="4"/>
      <c r="E622" s="4"/>
      <c r="F622" s="4"/>
      <c r="G622" s="4"/>
      <c r="H622" s="4"/>
    </row>
    <row r="623">
      <c r="A623" s="4"/>
      <c r="B623" s="47"/>
      <c r="C623" s="4"/>
      <c r="D623" s="4"/>
      <c r="E623" s="4"/>
      <c r="F623" s="4"/>
      <c r="G623" s="4"/>
      <c r="H623" s="4"/>
    </row>
    <row r="624">
      <c r="A624" s="4"/>
      <c r="B624" s="47"/>
      <c r="C624" s="4"/>
      <c r="D624" s="4"/>
      <c r="E624" s="4"/>
      <c r="F624" s="4"/>
      <c r="G624" s="4"/>
      <c r="H624" s="4"/>
    </row>
    <row r="625">
      <c r="A625" s="4"/>
      <c r="B625" s="47"/>
      <c r="C625" s="4"/>
      <c r="D625" s="4"/>
      <c r="E625" s="4"/>
      <c r="F625" s="4"/>
      <c r="G625" s="4"/>
      <c r="H625" s="4"/>
    </row>
    <row r="626">
      <c r="A626" s="4"/>
      <c r="B626" s="47"/>
      <c r="C626" s="4"/>
      <c r="D626" s="4"/>
      <c r="E626" s="4"/>
      <c r="F626" s="4"/>
      <c r="G626" s="4"/>
      <c r="H626" s="4"/>
    </row>
    <row r="627">
      <c r="A627" s="4"/>
      <c r="B627" s="47"/>
      <c r="C627" s="4"/>
      <c r="D627" s="4"/>
      <c r="E627" s="4"/>
      <c r="F627" s="4"/>
      <c r="G627" s="4"/>
      <c r="H627" s="4"/>
    </row>
    <row r="628">
      <c r="A628" s="4"/>
      <c r="B628" s="47"/>
      <c r="C628" s="4"/>
      <c r="D628" s="4"/>
      <c r="E628" s="4"/>
      <c r="F628" s="4"/>
      <c r="G628" s="4"/>
      <c r="H628" s="4"/>
    </row>
    <row r="629">
      <c r="A629" s="4"/>
      <c r="B629" s="47"/>
      <c r="C629" s="4"/>
      <c r="D629" s="4"/>
      <c r="E629" s="4"/>
      <c r="F629" s="4"/>
      <c r="G629" s="4"/>
      <c r="H629" s="4"/>
    </row>
    <row r="630">
      <c r="A630" s="4"/>
      <c r="B630" s="47"/>
      <c r="C630" s="4"/>
      <c r="D630" s="4"/>
      <c r="E630" s="4"/>
      <c r="F630" s="4"/>
      <c r="G630" s="4"/>
      <c r="H630" s="4"/>
    </row>
    <row r="631">
      <c r="A631" s="4"/>
      <c r="B631" s="47"/>
      <c r="C631" s="4"/>
      <c r="D631" s="4"/>
      <c r="E631" s="4"/>
      <c r="F631" s="4"/>
      <c r="G631" s="4"/>
      <c r="H631" s="4"/>
    </row>
    <row r="632">
      <c r="A632" s="4"/>
      <c r="B632" s="47"/>
      <c r="C632" s="4"/>
      <c r="D632" s="4"/>
      <c r="E632" s="4"/>
      <c r="F632" s="4"/>
      <c r="G632" s="4"/>
      <c r="H632" s="4"/>
    </row>
    <row r="633">
      <c r="A633" s="4"/>
      <c r="B633" s="47"/>
      <c r="C633" s="4"/>
      <c r="D633" s="4"/>
      <c r="E633" s="4"/>
      <c r="F633" s="4"/>
      <c r="G633" s="4"/>
      <c r="H633" s="4"/>
    </row>
    <row r="634">
      <c r="A634" s="4"/>
      <c r="B634" s="47"/>
      <c r="C634" s="4"/>
      <c r="D634" s="4"/>
      <c r="E634" s="4"/>
      <c r="F634" s="4"/>
      <c r="G634" s="4"/>
      <c r="H634" s="4"/>
    </row>
    <row r="635">
      <c r="A635" s="4"/>
      <c r="B635" s="47"/>
      <c r="C635" s="4"/>
      <c r="D635" s="4"/>
      <c r="E635" s="4"/>
      <c r="F635" s="4"/>
      <c r="G635" s="4"/>
      <c r="H635" s="4"/>
    </row>
    <row r="636">
      <c r="A636" s="4"/>
      <c r="B636" s="47"/>
      <c r="C636" s="4"/>
      <c r="D636" s="4"/>
      <c r="E636" s="4"/>
      <c r="F636" s="4"/>
      <c r="G636" s="4"/>
      <c r="H636" s="4"/>
    </row>
    <row r="637">
      <c r="A637" s="4"/>
      <c r="B637" s="47"/>
      <c r="C637" s="4"/>
      <c r="D637" s="4"/>
      <c r="E637" s="4"/>
      <c r="F637" s="4"/>
      <c r="G637" s="4"/>
      <c r="H637" s="4"/>
    </row>
    <row r="638">
      <c r="A638" s="4"/>
      <c r="B638" s="47"/>
      <c r="C638" s="4"/>
      <c r="D638" s="4"/>
      <c r="E638" s="4"/>
      <c r="F638" s="4"/>
      <c r="G638" s="4"/>
      <c r="H638" s="4"/>
    </row>
    <row r="639">
      <c r="A639" s="4"/>
      <c r="B639" s="47"/>
      <c r="C639" s="4"/>
      <c r="D639" s="4"/>
      <c r="E639" s="4"/>
      <c r="F639" s="4"/>
      <c r="G639" s="4"/>
      <c r="H639" s="4"/>
    </row>
    <row r="640">
      <c r="A640" s="4"/>
      <c r="B640" s="47"/>
      <c r="C640" s="4"/>
      <c r="D640" s="4"/>
      <c r="E640" s="4"/>
      <c r="F640" s="4"/>
      <c r="G640" s="4"/>
      <c r="H640" s="4"/>
    </row>
    <row r="641">
      <c r="A641" s="4"/>
      <c r="B641" s="47"/>
      <c r="C641" s="4"/>
      <c r="D641" s="4"/>
      <c r="E641" s="4"/>
      <c r="F641" s="4"/>
      <c r="G641" s="4"/>
      <c r="H641" s="4"/>
    </row>
    <row r="642">
      <c r="A642" s="4"/>
      <c r="B642" s="47"/>
      <c r="C642" s="4"/>
      <c r="D642" s="4"/>
      <c r="E642" s="4"/>
      <c r="F642" s="4"/>
      <c r="G642" s="4"/>
      <c r="H642" s="4"/>
    </row>
    <row r="643">
      <c r="A643" s="4"/>
      <c r="B643" s="47"/>
      <c r="C643" s="4"/>
      <c r="D643" s="4"/>
      <c r="E643" s="4"/>
      <c r="F643" s="4"/>
      <c r="G643" s="4"/>
      <c r="H643" s="4"/>
    </row>
    <row r="644">
      <c r="A644" s="4"/>
      <c r="B644" s="47"/>
      <c r="C644" s="4"/>
      <c r="D644" s="4"/>
      <c r="E644" s="4"/>
      <c r="F644" s="4"/>
      <c r="G644" s="4"/>
      <c r="H644" s="4"/>
    </row>
    <row r="645">
      <c r="A645" s="4"/>
      <c r="B645" s="47"/>
      <c r="C645" s="4"/>
      <c r="D645" s="4"/>
      <c r="E645" s="4"/>
      <c r="F645" s="4"/>
      <c r="G645" s="4"/>
      <c r="H645" s="4"/>
    </row>
    <row r="646">
      <c r="A646" s="4"/>
      <c r="B646" s="47"/>
      <c r="C646" s="4"/>
      <c r="D646" s="4"/>
      <c r="E646" s="4"/>
      <c r="F646" s="4"/>
      <c r="G646" s="4"/>
      <c r="H646" s="4"/>
    </row>
    <row r="647">
      <c r="A647" s="4"/>
      <c r="B647" s="47"/>
      <c r="C647" s="4"/>
      <c r="D647" s="4"/>
      <c r="E647" s="4"/>
      <c r="F647" s="4"/>
      <c r="G647" s="4"/>
      <c r="H647" s="4"/>
    </row>
    <row r="648">
      <c r="A648" s="4"/>
      <c r="B648" s="47"/>
      <c r="C648" s="4"/>
      <c r="D648" s="4"/>
      <c r="E648" s="4"/>
      <c r="F648" s="4"/>
      <c r="G648" s="4"/>
      <c r="H648" s="4"/>
    </row>
    <row r="649">
      <c r="A649" s="4"/>
      <c r="B649" s="47"/>
      <c r="C649" s="4"/>
      <c r="D649" s="4"/>
      <c r="E649" s="4"/>
      <c r="F649" s="4"/>
      <c r="G649" s="4"/>
      <c r="H649" s="4"/>
    </row>
    <row r="650">
      <c r="A650" s="4"/>
      <c r="B650" s="47"/>
      <c r="C650" s="4"/>
      <c r="D650" s="4"/>
      <c r="E650" s="4"/>
      <c r="F650" s="4"/>
      <c r="G650" s="4"/>
      <c r="H650" s="4"/>
    </row>
    <row r="651">
      <c r="A651" s="4"/>
      <c r="B651" s="47"/>
      <c r="C651" s="4"/>
      <c r="D651" s="4"/>
      <c r="E651" s="4"/>
      <c r="F651" s="4"/>
      <c r="G651" s="4"/>
      <c r="H651" s="4"/>
    </row>
    <row r="652">
      <c r="A652" s="4"/>
      <c r="B652" s="47"/>
      <c r="C652" s="4"/>
      <c r="D652" s="4"/>
      <c r="E652" s="4"/>
      <c r="F652" s="4"/>
      <c r="G652" s="4"/>
      <c r="H652" s="4"/>
    </row>
    <row r="653">
      <c r="A653" s="4"/>
      <c r="B653" s="47"/>
      <c r="C653" s="4"/>
      <c r="D653" s="4"/>
      <c r="E653" s="4"/>
      <c r="F653" s="4"/>
      <c r="G653" s="4"/>
      <c r="H653" s="4"/>
    </row>
    <row r="654">
      <c r="A654" s="4"/>
      <c r="B654" s="47"/>
      <c r="C654" s="4"/>
      <c r="D654" s="4"/>
      <c r="E654" s="4"/>
      <c r="F654" s="4"/>
      <c r="G654" s="4"/>
      <c r="H654" s="4"/>
    </row>
    <row r="655">
      <c r="A655" s="4"/>
      <c r="B655" s="47"/>
      <c r="C655" s="4"/>
      <c r="D655" s="4"/>
      <c r="E655" s="4"/>
      <c r="F655" s="4"/>
      <c r="G655" s="4"/>
      <c r="H655" s="4"/>
    </row>
    <row r="656">
      <c r="A656" s="4"/>
      <c r="B656" s="47"/>
      <c r="C656" s="4"/>
      <c r="D656" s="4"/>
      <c r="E656" s="4"/>
      <c r="F656" s="4"/>
      <c r="G656" s="4"/>
      <c r="H656" s="4"/>
    </row>
    <row r="657">
      <c r="A657" s="4"/>
      <c r="B657" s="47"/>
      <c r="C657" s="4"/>
      <c r="D657" s="4"/>
      <c r="E657" s="4"/>
      <c r="F657" s="4"/>
      <c r="G657" s="4"/>
      <c r="H657" s="4"/>
    </row>
    <row r="658">
      <c r="A658" s="4"/>
      <c r="B658" s="47"/>
      <c r="C658" s="4"/>
      <c r="D658" s="4"/>
      <c r="E658" s="4"/>
      <c r="F658" s="4"/>
      <c r="G658" s="4"/>
      <c r="H658" s="4"/>
    </row>
    <row r="659">
      <c r="A659" s="4"/>
      <c r="B659" s="47"/>
      <c r="C659" s="4"/>
      <c r="D659" s="4"/>
      <c r="E659" s="4"/>
      <c r="F659" s="4"/>
      <c r="G659" s="4"/>
      <c r="H659" s="4"/>
    </row>
    <row r="660">
      <c r="A660" s="4"/>
      <c r="B660" s="47"/>
      <c r="C660" s="4"/>
      <c r="D660" s="4"/>
      <c r="E660" s="4"/>
      <c r="F660" s="4"/>
      <c r="G660" s="4"/>
      <c r="H660" s="4"/>
    </row>
    <row r="661">
      <c r="A661" s="4"/>
      <c r="B661" s="47"/>
      <c r="C661" s="4"/>
      <c r="D661" s="4"/>
      <c r="E661" s="4"/>
      <c r="F661" s="4"/>
      <c r="G661" s="4"/>
      <c r="H661" s="4"/>
    </row>
    <row r="662">
      <c r="A662" s="4"/>
      <c r="B662" s="47"/>
      <c r="C662" s="4"/>
      <c r="D662" s="4"/>
      <c r="E662" s="4"/>
      <c r="F662" s="4"/>
      <c r="G662" s="4"/>
      <c r="H662" s="4"/>
    </row>
    <row r="663">
      <c r="A663" s="4"/>
      <c r="B663" s="47"/>
      <c r="C663" s="4"/>
      <c r="D663" s="4"/>
      <c r="E663" s="4"/>
      <c r="F663" s="4"/>
      <c r="G663" s="4"/>
      <c r="H663" s="4"/>
    </row>
    <row r="664">
      <c r="A664" s="4"/>
      <c r="B664" s="47"/>
      <c r="C664" s="4"/>
      <c r="D664" s="4"/>
      <c r="E664" s="4"/>
      <c r="F664" s="4"/>
      <c r="G664" s="4"/>
      <c r="H664" s="4"/>
    </row>
    <row r="665">
      <c r="A665" s="4"/>
      <c r="B665" s="47"/>
      <c r="C665" s="4"/>
      <c r="D665" s="4"/>
      <c r="E665" s="4"/>
      <c r="F665" s="4"/>
      <c r="G665" s="4"/>
      <c r="H665" s="4"/>
    </row>
    <row r="666">
      <c r="A666" s="4"/>
      <c r="B666" s="47"/>
      <c r="C666" s="4"/>
      <c r="D666" s="4"/>
      <c r="E666" s="4"/>
      <c r="F666" s="4"/>
      <c r="G666" s="4"/>
      <c r="H666" s="4"/>
    </row>
    <row r="667">
      <c r="A667" s="4"/>
      <c r="B667" s="47"/>
      <c r="C667" s="4"/>
      <c r="D667" s="4"/>
      <c r="E667" s="4"/>
      <c r="F667" s="4"/>
      <c r="G667" s="4"/>
      <c r="H667" s="4"/>
    </row>
    <row r="668">
      <c r="A668" s="4"/>
      <c r="B668" s="47"/>
      <c r="C668" s="4"/>
      <c r="D668" s="4"/>
      <c r="E668" s="4"/>
      <c r="F668" s="4"/>
      <c r="G668" s="4"/>
      <c r="H668" s="4"/>
    </row>
    <row r="669">
      <c r="A669" s="4"/>
      <c r="B669" s="47"/>
      <c r="C669" s="4"/>
      <c r="D669" s="4"/>
      <c r="E669" s="4"/>
      <c r="F669" s="4"/>
      <c r="G669" s="4"/>
      <c r="H669" s="4"/>
    </row>
    <row r="670">
      <c r="A670" s="4"/>
      <c r="B670" s="47"/>
      <c r="C670" s="4"/>
      <c r="D670" s="4"/>
      <c r="E670" s="4"/>
      <c r="F670" s="4"/>
      <c r="G670" s="4"/>
      <c r="H670" s="4"/>
    </row>
    <row r="671">
      <c r="A671" s="4"/>
      <c r="B671" s="47"/>
      <c r="C671" s="4"/>
      <c r="D671" s="4"/>
      <c r="E671" s="4"/>
      <c r="F671" s="4"/>
      <c r="G671" s="4"/>
      <c r="H671" s="4"/>
    </row>
    <row r="672">
      <c r="A672" s="4"/>
      <c r="B672" s="47"/>
      <c r="C672" s="4"/>
      <c r="D672" s="4"/>
      <c r="E672" s="4"/>
      <c r="F672" s="4"/>
      <c r="G672" s="4"/>
      <c r="H672" s="4"/>
    </row>
    <row r="673">
      <c r="A673" s="4"/>
      <c r="B673" s="47"/>
      <c r="C673" s="4"/>
      <c r="D673" s="4"/>
      <c r="E673" s="4"/>
      <c r="F673" s="4"/>
      <c r="G673" s="4"/>
      <c r="H673" s="4"/>
    </row>
    <row r="674">
      <c r="A674" s="4"/>
      <c r="B674" s="47"/>
      <c r="C674" s="4"/>
      <c r="D674" s="4"/>
      <c r="E674" s="4"/>
      <c r="F674" s="4"/>
      <c r="G674" s="4"/>
      <c r="H674" s="4"/>
    </row>
    <row r="675">
      <c r="A675" s="4"/>
      <c r="B675" s="47"/>
      <c r="C675" s="4"/>
      <c r="D675" s="4"/>
      <c r="E675" s="4"/>
      <c r="F675" s="4"/>
      <c r="G675" s="4"/>
      <c r="H675" s="4"/>
    </row>
    <row r="676">
      <c r="A676" s="4"/>
      <c r="B676" s="47"/>
      <c r="C676" s="4"/>
      <c r="D676" s="4"/>
      <c r="E676" s="4"/>
      <c r="F676" s="4"/>
      <c r="G676" s="4"/>
      <c r="H676" s="4"/>
    </row>
    <row r="677">
      <c r="A677" s="4"/>
      <c r="B677" s="47"/>
      <c r="C677" s="4"/>
      <c r="D677" s="4"/>
      <c r="E677" s="4"/>
      <c r="F677" s="4"/>
      <c r="G677" s="4"/>
      <c r="H677" s="4"/>
    </row>
    <row r="678">
      <c r="A678" s="4"/>
      <c r="B678" s="47"/>
      <c r="C678" s="4"/>
      <c r="D678" s="4"/>
      <c r="E678" s="4"/>
      <c r="F678" s="4"/>
      <c r="G678" s="4"/>
      <c r="H678" s="4"/>
    </row>
    <row r="679">
      <c r="A679" s="4"/>
      <c r="B679" s="47"/>
      <c r="C679" s="4"/>
      <c r="D679" s="4"/>
      <c r="E679" s="4"/>
      <c r="F679" s="4"/>
      <c r="G679" s="4"/>
      <c r="H679" s="4"/>
    </row>
    <row r="680">
      <c r="A680" s="4"/>
      <c r="B680" s="47"/>
      <c r="C680" s="4"/>
      <c r="D680" s="4"/>
      <c r="E680" s="4"/>
      <c r="F680" s="4"/>
      <c r="G680" s="4"/>
      <c r="H680" s="4"/>
    </row>
    <row r="681">
      <c r="A681" s="4"/>
      <c r="B681" s="47"/>
      <c r="C681" s="4"/>
      <c r="D681" s="4"/>
      <c r="E681" s="4"/>
      <c r="F681" s="4"/>
      <c r="G681" s="4"/>
      <c r="H681" s="4"/>
    </row>
    <row r="682">
      <c r="A682" s="4"/>
      <c r="B682" s="47"/>
      <c r="C682" s="4"/>
      <c r="D682" s="4"/>
      <c r="E682" s="4"/>
      <c r="F682" s="4"/>
      <c r="G682" s="4"/>
      <c r="H682" s="4"/>
    </row>
    <row r="683">
      <c r="A683" s="4"/>
      <c r="B683" s="47"/>
      <c r="C683" s="4"/>
      <c r="D683" s="4"/>
      <c r="E683" s="4"/>
      <c r="F683" s="4"/>
      <c r="G683" s="4"/>
      <c r="H683" s="4"/>
    </row>
    <row r="684">
      <c r="A684" s="4"/>
      <c r="B684" s="47"/>
      <c r="C684" s="4"/>
      <c r="D684" s="4"/>
      <c r="E684" s="4"/>
      <c r="F684" s="4"/>
      <c r="G684" s="4"/>
      <c r="H684" s="4"/>
    </row>
    <row r="685">
      <c r="A685" s="4"/>
      <c r="B685" s="47"/>
      <c r="C685" s="4"/>
      <c r="D685" s="4"/>
      <c r="E685" s="4"/>
      <c r="F685" s="4"/>
      <c r="G685" s="4"/>
      <c r="H685" s="4"/>
    </row>
    <row r="686">
      <c r="A686" s="4"/>
      <c r="B686" s="47"/>
      <c r="C686" s="4"/>
      <c r="D686" s="4"/>
      <c r="E686" s="4"/>
      <c r="F686" s="4"/>
      <c r="G686" s="4"/>
      <c r="H686" s="4"/>
    </row>
    <row r="687">
      <c r="A687" s="4"/>
      <c r="B687" s="47"/>
      <c r="C687" s="4"/>
      <c r="D687" s="4"/>
      <c r="E687" s="4"/>
      <c r="F687" s="4"/>
      <c r="G687" s="4"/>
      <c r="H687" s="4"/>
    </row>
    <row r="688">
      <c r="A688" s="4"/>
      <c r="B688" s="47"/>
      <c r="C688" s="4"/>
      <c r="D688" s="4"/>
      <c r="E688" s="4"/>
      <c r="F688" s="4"/>
      <c r="G688" s="4"/>
      <c r="H688" s="4"/>
    </row>
    <row r="689">
      <c r="A689" s="4"/>
      <c r="B689" s="47"/>
      <c r="C689" s="4"/>
      <c r="D689" s="4"/>
      <c r="E689" s="4"/>
      <c r="F689" s="4"/>
      <c r="G689" s="4"/>
      <c r="H689" s="4"/>
    </row>
    <row r="690">
      <c r="A690" s="4"/>
      <c r="B690" s="47"/>
      <c r="C690" s="4"/>
      <c r="D690" s="4"/>
      <c r="E690" s="4"/>
      <c r="F690" s="4"/>
      <c r="G690" s="4"/>
      <c r="H690" s="4"/>
    </row>
    <row r="691">
      <c r="A691" s="4"/>
      <c r="B691" s="47"/>
      <c r="C691" s="4"/>
      <c r="D691" s="4"/>
      <c r="E691" s="4"/>
      <c r="F691" s="4"/>
      <c r="G691" s="4"/>
      <c r="H691" s="4"/>
    </row>
    <row r="692">
      <c r="A692" s="4"/>
      <c r="B692" s="47"/>
      <c r="C692" s="4"/>
      <c r="D692" s="4"/>
      <c r="E692" s="4"/>
      <c r="F692" s="4"/>
      <c r="G692" s="4"/>
      <c r="H692" s="4"/>
    </row>
    <row r="693">
      <c r="A693" s="4"/>
      <c r="B693" s="47"/>
      <c r="C693" s="4"/>
      <c r="D693" s="4"/>
      <c r="E693" s="4"/>
      <c r="F693" s="4"/>
      <c r="G693" s="4"/>
      <c r="H693" s="4"/>
    </row>
    <row r="694">
      <c r="A694" s="4"/>
      <c r="B694" s="47"/>
      <c r="C694" s="4"/>
      <c r="D694" s="4"/>
      <c r="E694" s="4"/>
      <c r="F694" s="4"/>
      <c r="G694" s="4"/>
      <c r="H694" s="4"/>
    </row>
    <row r="695">
      <c r="A695" s="4"/>
      <c r="B695" s="47"/>
      <c r="C695" s="4"/>
      <c r="D695" s="4"/>
      <c r="E695" s="4"/>
      <c r="F695" s="4"/>
      <c r="G695" s="4"/>
      <c r="H695" s="4"/>
    </row>
    <row r="696">
      <c r="A696" s="4"/>
      <c r="B696" s="47"/>
      <c r="C696" s="4"/>
      <c r="D696" s="4"/>
      <c r="E696" s="4"/>
      <c r="F696" s="4"/>
      <c r="G696" s="4"/>
      <c r="H696" s="4"/>
    </row>
    <row r="697">
      <c r="A697" s="4"/>
      <c r="B697" s="47"/>
      <c r="C697" s="4"/>
      <c r="D697" s="4"/>
      <c r="E697" s="4"/>
      <c r="F697" s="4"/>
      <c r="G697" s="4"/>
      <c r="H697" s="4"/>
    </row>
    <row r="698">
      <c r="A698" s="4"/>
      <c r="B698" s="47"/>
      <c r="C698" s="4"/>
      <c r="D698" s="4"/>
      <c r="E698" s="4"/>
      <c r="F698" s="4"/>
      <c r="G698" s="4"/>
      <c r="H698" s="4"/>
    </row>
    <row r="699">
      <c r="A699" s="4"/>
      <c r="B699" s="47"/>
      <c r="C699" s="4"/>
      <c r="D699" s="4"/>
      <c r="E699" s="4"/>
      <c r="F699" s="4"/>
      <c r="G699" s="4"/>
      <c r="H699" s="4"/>
    </row>
    <row r="700">
      <c r="A700" s="4"/>
      <c r="B700" s="47"/>
      <c r="C700" s="4"/>
      <c r="D700" s="4"/>
      <c r="E700" s="4"/>
      <c r="F700" s="4"/>
      <c r="G700" s="4"/>
      <c r="H700" s="4"/>
    </row>
    <row r="701">
      <c r="A701" s="4"/>
      <c r="B701" s="47"/>
      <c r="C701" s="4"/>
      <c r="D701" s="4"/>
      <c r="E701" s="4"/>
      <c r="F701" s="4"/>
      <c r="G701" s="4"/>
      <c r="H701" s="4"/>
    </row>
    <row r="702">
      <c r="A702" s="4"/>
      <c r="B702" s="47"/>
      <c r="C702" s="4"/>
      <c r="D702" s="4"/>
      <c r="E702" s="4"/>
      <c r="F702" s="4"/>
      <c r="G702" s="4"/>
      <c r="H702" s="4"/>
    </row>
    <row r="703">
      <c r="A703" s="4"/>
      <c r="B703" s="47"/>
      <c r="C703" s="4"/>
      <c r="D703" s="4"/>
      <c r="E703" s="4"/>
      <c r="F703" s="4"/>
      <c r="G703" s="4"/>
      <c r="H703" s="4"/>
    </row>
    <row r="704">
      <c r="A704" s="4"/>
      <c r="B704" s="47"/>
      <c r="C704" s="4"/>
      <c r="D704" s="4"/>
      <c r="E704" s="4"/>
      <c r="F704" s="4"/>
      <c r="G704" s="4"/>
      <c r="H704" s="4"/>
    </row>
    <row r="705">
      <c r="A705" s="4"/>
      <c r="B705" s="47"/>
      <c r="C705" s="4"/>
      <c r="D705" s="4"/>
      <c r="E705" s="4"/>
      <c r="F705" s="4"/>
      <c r="G705" s="4"/>
      <c r="H705" s="4"/>
    </row>
    <row r="706">
      <c r="A706" s="4"/>
      <c r="B706" s="47"/>
      <c r="C706" s="4"/>
      <c r="D706" s="4"/>
      <c r="E706" s="4"/>
      <c r="F706" s="4"/>
      <c r="G706" s="4"/>
      <c r="H706" s="4"/>
    </row>
    <row r="707">
      <c r="A707" s="4"/>
      <c r="B707" s="47"/>
      <c r="C707" s="4"/>
      <c r="D707" s="4"/>
      <c r="E707" s="4"/>
      <c r="F707" s="4"/>
      <c r="G707" s="4"/>
      <c r="H707" s="4"/>
    </row>
    <row r="708">
      <c r="A708" s="4"/>
      <c r="B708" s="47"/>
      <c r="C708" s="4"/>
      <c r="D708" s="4"/>
      <c r="E708" s="4"/>
      <c r="F708" s="4"/>
      <c r="G708" s="4"/>
      <c r="H708" s="4"/>
    </row>
    <row r="709">
      <c r="A709" s="4"/>
      <c r="B709" s="47"/>
      <c r="C709" s="4"/>
      <c r="D709" s="4"/>
      <c r="E709" s="4"/>
      <c r="F709" s="4"/>
      <c r="G709" s="4"/>
      <c r="H709" s="4"/>
    </row>
    <row r="710">
      <c r="A710" s="4"/>
      <c r="B710" s="47"/>
      <c r="C710" s="4"/>
      <c r="D710" s="4"/>
      <c r="E710" s="4"/>
      <c r="F710" s="4"/>
      <c r="G710" s="4"/>
      <c r="H710" s="4"/>
    </row>
    <row r="711">
      <c r="A711" s="4"/>
      <c r="B711" s="47"/>
      <c r="C711" s="4"/>
      <c r="D711" s="4"/>
      <c r="E711" s="4"/>
      <c r="F711" s="4"/>
      <c r="G711" s="4"/>
      <c r="H711" s="4"/>
    </row>
    <row r="712">
      <c r="A712" s="4"/>
      <c r="B712" s="47"/>
      <c r="C712" s="4"/>
      <c r="D712" s="4"/>
      <c r="E712" s="4"/>
      <c r="F712" s="4"/>
      <c r="G712" s="4"/>
      <c r="H712" s="4"/>
    </row>
    <row r="713">
      <c r="A713" s="4"/>
      <c r="B713" s="47"/>
      <c r="C713" s="4"/>
      <c r="D713" s="4"/>
      <c r="E713" s="4"/>
      <c r="F713" s="4"/>
      <c r="G713" s="4"/>
      <c r="H713" s="4"/>
    </row>
    <row r="714">
      <c r="A714" s="4"/>
      <c r="B714" s="47"/>
      <c r="C714" s="4"/>
      <c r="D714" s="4"/>
      <c r="E714" s="4"/>
      <c r="F714" s="4"/>
      <c r="G714" s="4"/>
      <c r="H714" s="4"/>
    </row>
    <row r="715">
      <c r="A715" s="4"/>
      <c r="B715" s="47"/>
      <c r="C715" s="4"/>
      <c r="D715" s="4"/>
      <c r="E715" s="4"/>
      <c r="F715" s="4"/>
      <c r="G715" s="4"/>
      <c r="H715" s="4"/>
    </row>
    <row r="716">
      <c r="A716" s="4"/>
      <c r="B716" s="47"/>
      <c r="C716" s="4"/>
      <c r="D716" s="4"/>
      <c r="E716" s="4"/>
      <c r="F716" s="4"/>
      <c r="G716" s="4"/>
      <c r="H716" s="4"/>
    </row>
    <row r="717">
      <c r="A717" s="4"/>
      <c r="B717" s="47"/>
      <c r="C717" s="4"/>
      <c r="D717" s="4"/>
      <c r="E717" s="4"/>
      <c r="F717" s="4"/>
      <c r="G717" s="4"/>
      <c r="H717" s="4"/>
    </row>
    <row r="718">
      <c r="A718" s="4"/>
      <c r="B718" s="47"/>
      <c r="C718" s="4"/>
      <c r="D718" s="4"/>
      <c r="E718" s="4"/>
      <c r="F718" s="4"/>
      <c r="G718" s="4"/>
      <c r="H718" s="4"/>
    </row>
    <row r="719">
      <c r="A719" s="4"/>
      <c r="B719" s="47"/>
      <c r="C719" s="4"/>
      <c r="D719" s="4"/>
      <c r="E719" s="4"/>
      <c r="F719" s="4"/>
      <c r="G719" s="4"/>
      <c r="H719" s="4"/>
    </row>
    <row r="720">
      <c r="A720" s="4"/>
      <c r="B720" s="47"/>
      <c r="C720" s="4"/>
      <c r="D720" s="4"/>
      <c r="E720" s="4"/>
      <c r="F720" s="4"/>
      <c r="G720" s="4"/>
      <c r="H720" s="4"/>
    </row>
    <row r="721">
      <c r="A721" s="4"/>
      <c r="B721" s="47"/>
      <c r="C721" s="4"/>
      <c r="D721" s="4"/>
      <c r="E721" s="4"/>
      <c r="F721" s="4"/>
      <c r="G721" s="4"/>
      <c r="H721" s="4"/>
    </row>
    <row r="722">
      <c r="A722" s="4"/>
      <c r="B722" s="47"/>
      <c r="C722" s="4"/>
      <c r="D722" s="4"/>
      <c r="E722" s="4"/>
      <c r="F722" s="4"/>
      <c r="G722" s="4"/>
      <c r="H722" s="4"/>
    </row>
    <row r="723">
      <c r="A723" s="4"/>
      <c r="B723" s="47"/>
      <c r="C723" s="4"/>
      <c r="D723" s="4"/>
      <c r="E723" s="4"/>
      <c r="F723" s="4"/>
      <c r="G723" s="4"/>
      <c r="H723" s="4"/>
    </row>
    <row r="724">
      <c r="A724" s="4"/>
      <c r="B724" s="47"/>
      <c r="C724" s="4"/>
      <c r="D724" s="4"/>
      <c r="E724" s="4"/>
      <c r="F724" s="4"/>
      <c r="G724" s="4"/>
      <c r="H724" s="4"/>
    </row>
    <row r="725">
      <c r="A725" s="4"/>
      <c r="B725" s="47"/>
      <c r="C725" s="4"/>
      <c r="D725" s="4"/>
      <c r="E725" s="4"/>
      <c r="F725" s="4"/>
      <c r="G725" s="4"/>
      <c r="H725" s="4"/>
    </row>
    <row r="726">
      <c r="A726" s="4"/>
      <c r="B726" s="47"/>
      <c r="C726" s="4"/>
      <c r="D726" s="4"/>
      <c r="E726" s="4"/>
      <c r="F726" s="4"/>
      <c r="G726" s="4"/>
      <c r="H726" s="4"/>
    </row>
    <row r="727">
      <c r="A727" s="4"/>
      <c r="B727" s="47"/>
      <c r="C727" s="4"/>
      <c r="D727" s="4"/>
      <c r="E727" s="4"/>
      <c r="F727" s="4"/>
      <c r="G727" s="4"/>
      <c r="H727" s="4"/>
    </row>
    <row r="728">
      <c r="A728" s="4"/>
      <c r="B728" s="47"/>
      <c r="C728" s="4"/>
      <c r="D728" s="4"/>
      <c r="E728" s="4"/>
      <c r="F728" s="4"/>
      <c r="G728" s="4"/>
      <c r="H728" s="4"/>
    </row>
    <row r="729">
      <c r="A729" s="4"/>
      <c r="B729" s="47"/>
      <c r="C729" s="4"/>
      <c r="D729" s="4"/>
      <c r="E729" s="4"/>
      <c r="F729" s="4"/>
      <c r="G729" s="4"/>
      <c r="H729" s="4"/>
    </row>
    <row r="730">
      <c r="A730" s="4"/>
      <c r="B730" s="47"/>
      <c r="C730" s="4"/>
      <c r="D730" s="4"/>
      <c r="E730" s="4"/>
      <c r="F730" s="4"/>
      <c r="G730" s="4"/>
      <c r="H730" s="4"/>
    </row>
    <row r="731">
      <c r="A731" s="4"/>
      <c r="B731" s="47"/>
      <c r="C731" s="4"/>
      <c r="D731" s="4"/>
      <c r="E731" s="4"/>
      <c r="F731" s="4"/>
      <c r="G731" s="4"/>
      <c r="H731" s="4"/>
    </row>
    <row r="732">
      <c r="A732" s="4"/>
      <c r="B732" s="47"/>
      <c r="C732" s="4"/>
      <c r="D732" s="4"/>
      <c r="E732" s="4"/>
      <c r="F732" s="4"/>
      <c r="G732" s="4"/>
      <c r="H732" s="4"/>
    </row>
    <row r="733">
      <c r="A733" s="4"/>
      <c r="B733" s="47"/>
      <c r="C733" s="4"/>
      <c r="D733" s="4"/>
      <c r="E733" s="4"/>
      <c r="F733" s="4"/>
      <c r="G733" s="4"/>
      <c r="H733" s="4"/>
    </row>
    <row r="734">
      <c r="A734" s="4"/>
      <c r="B734" s="47"/>
      <c r="C734" s="4"/>
      <c r="D734" s="4"/>
      <c r="E734" s="4"/>
      <c r="F734" s="4"/>
      <c r="G734" s="4"/>
      <c r="H734" s="4"/>
    </row>
    <row r="735">
      <c r="A735" s="4"/>
      <c r="B735" s="47"/>
      <c r="C735" s="4"/>
      <c r="D735" s="4"/>
      <c r="E735" s="4"/>
      <c r="F735" s="4"/>
      <c r="G735" s="4"/>
      <c r="H735" s="4"/>
    </row>
    <row r="736">
      <c r="A736" s="4"/>
      <c r="B736" s="47"/>
      <c r="C736" s="4"/>
      <c r="D736" s="4"/>
      <c r="E736" s="4"/>
      <c r="F736" s="4"/>
      <c r="G736" s="4"/>
      <c r="H736" s="4"/>
    </row>
    <row r="737">
      <c r="A737" s="4"/>
      <c r="B737" s="47"/>
      <c r="C737" s="4"/>
      <c r="D737" s="4"/>
      <c r="E737" s="4"/>
      <c r="F737" s="4"/>
      <c r="G737" s="4"/>
      <c r="H737" s="4"/>
    </row>
    <row r="738">
      <c r="A738" s="4"/>
      <c r="B738" s="47"/>
      <c r="C738" s="4"/>
      <c r="D738" s="4"/>
      <c r="E738" s="4"/>
      <c r="F738" s="4"/>
      <c r="G738" s="4"/>
      <c r="H738" s="4"/>
    </row>
    <row r="739">
      <c r="A739" s="4"/>
      <c r="B739" s="47"/>
      <c r="C739" s="4"/>
      <c r="D739" s="4"/>
      <c r="E739" s="4"/>
      <c r="F739" s="4"/>
      <c r="G739" s="4"/>
      <c r="H739" s="4"/>
    </row>
    <row r="740">
      <c r="A740" s="4"/>
      <c r="B740" s="47"/>
      <c r="C740" s="4"/>
      <c r="D740" s="4"/>
      <c r="E740" s="4"/>
      <c r="F740" s="4"/>
      <c r="G740" s="4"/>
      <c r="H740" s="4"/>
    </row>
    <row r="741">
      <c r="A741" s="4"/>
      <c r="B741" s="47"/>
      <c r="C741" s="4"/>
      <c r="D741" s="4"/>
      <c r="E741" s="4"/>
      <c r="F741" s="4"/>
      <c r="G741" s="4"/>
      <c r="H741" s="4"/>
    </row>
    <row r="742">
      <c r="A742" s="4"/>
      <c r="B742" s="47"/>
      <c r="C742" s="4"/>
      <c r="D742" s="4"/>
      <c r="E742" s="4"/>
      <c r="F742" s="4"/>
      <c r="G742" s="4"/>
      <c r="H742" s="4"/>
    </row>
    <row r="743">
      <c r="A743" s="4"/>
      <c r="B743" s="47"/>
      <c r="C743" s="4"/>
      <c r="D743" s="4"/>
      <c r="E743" s="4"/>
      <c r="F743" s="4"/>
      <c r="G743" s="4"/>
      <c r="H743" s="4"/>
    </row>
    <row r="744">
      <c r="A744" s="4"/>
      <c r="B744" s="47"/>
      <c r="C744" s="4"/>
      <c r="D744" s="4"/>
      <c r="E744" s="4"/>
      <c r="F744" s="4"/>
      <c r="G744" s="4"/>
      <c r="H744" s="4"/>
    </row>
    <row r="745">
      <c r="A745" s="4"/>
      <c r="B745" s="47"/>
      <c r="C745" s="4"/>
      <c r="D745" s="4"/>
      <c r="E745" s="4"/>
      <c r="F745" s="4"/>
      <c r="G745" s="4"/>
      <c r="H745" s="4"/>
    </row>
    <row r="746">
      <c r="A746" s="4"/>
      <c r="B746" s="47"/>
      <c r="C746" s="4"/>
      <c r="D746" s="4"/>
      <c r="E746" s="4"/>
      <c r="F746" s="4"/>
      <c r="G746" s="4"/>
      <c r="H746" s="4"/>
    </row>
    <row r="747">
      <c r="A747" s="4"/>
      <c r="B747" s="47"/>
      <c r="C747" s="4"/>
      <c r="D747" s="4"/>
      <c r="E747" s="4"/>
      <c r="F747" s="4"/>
      <c r="G747" s="4"/>
      <c r="H747" s="4"/>
    </row>
    <row r="748">
      <c r="A748" s="4"/>
      <c r="B748" s="47"/>
      <c r="C748" s="4"/>
      <c r="D748" s="4"/>
      <c r="E748" s="4"/>
      <c r="F748" s="4"/>
      <c r="G748" s="4"/>
      <c r="H748" s="4"/>
    </row>
    <row r="749">
      <c r="A749" s="4"/>
      <c r="B749" s="47"/>
      <c r="C749" s="4"/>
      <c r="D749" s="4"/>
      <c r="E749" s="4"/>
      <c r="F749" s="4"/>
      <c r="G749" s="4"/>
      <c r="H749" s="4"/>
    </row>
    <row r="750">
      <c r="A750" s="4"/>
      <c r="B750" s="47"/>
      <c r="C750" s="4"/>
      <c r="D750" s="4"/>
      <c r="E750" s="4"/>
      <c r="F750" s="4"/>
      <c r="G750" s="4"/>
      <c r="H750" s="4"/>
    </row>
    <row r="751">
      <c r="A751" s="4"/>
      <c r="B751" s="47"/>
      <c r="C751" s="4"/>
      <c r="D751" s="4"/>
      <c r="E751" s="4"/>
      <c r="F751" s="4"/>
      <c r="G751" s="4"/>
      <c r="H751" s="4"/>
    </row>
    <row r="752">
      <c r="A752" s="4"/>
      <c r="B752" s="47"/>
      <c r="C752" s="4"/>
      <c r="D752" s="4"/>
      <c r="E752" s="4"/>
      <c r="F752" s="4"/>
      <c r="G752" s="4"/>
      <c r="H752" s="4"/>
    </row>
    <row r="753">
      <c r="A753" s="4"/>
      <c r="B753" s="47"/>
      <c r="C753" s="4"/>
      <c r="D753" s="4"/>
      <c r="E753" s="4"/>
      <c r="F753" s="4"/>
      <c r="G753" s="4"/>
      <c r="H753" s="4"/>
    </row>
    <row r="754">
      <c r="A754" s="4"/>
      <c r="B754" s="47"/>
      <c r="C754" s="4"/>
      <c r="D754" s="4"/>
      <c r="E754" s="4"/>
      <c r="F754" s="4"/>
      <c r="G754" s="4"/>
      <c r="H754" s="4"/>
    </row>
    <row r="755">
      <c r="A755" s="4"/>
      <c r="B755" s="47"/>
      <c r="C755" s="4"/>
      <c r="D755" s="4"/>
      <c r="E755" s="4"/>
      <c r="F755" s="4"/>
      <c r="G755" s="4"/>
      <c r="H755" s="4"/>
    </row>
    <row r="756">
      <c r="A756" s="4"/>
      <c r="B756" s="47"/>
      <c r="C756" s="4"/>
      <c r="D756" s="4"/>
      <c r="E756" s="4"/>
      <c r="F756" s="4"/>
      <c r="G756" s="4"/>
      <c r="H756" s="4"/>
    </row>
    <row r="757">
      <c r="A757" s="4"/>
      <c r="B757" s="47"/>
      <c r="C757" s="4"/>
      <c r="D757" s="4"/>
      <c r="E757" s="4"/>
      <c r="F757" s="4"/>
      <c r="G757" s="4"/>
      <c r="H757" s="4"/>
    </row>
    <row r="758">
      <c r="A758" s="4"/>
      <c r="B758" s="47"/>
      <c r="C758" s="4"/>
      <c r="D758" s="4"/>
      <c r="E758" s="4"/>
      <c r="F758" s="4"/>
      <c r="G758" s="4"/>
      <c r="H758" s="4"/>
    </row>
    <row r="759">
      <c r="A759" s="4"/>
      <c r="B759" s="47"/>
      <c r="C759" s="4"/>
      <c r="D759" s="4"/>
      <c r="E759" s="4"/>
      <c r="F759" s="4"/>
      <c r="G759" s="4"/>
      <c r="H759" s="4"/>
    </row>
    <row r="760">
      <c r="A760" s="4"/>
      <c r="B760" s="47"/>
      <c r="C760" s="4"/>
      <c r="D760" s="4"/>
      <c r="E760" s="4"/>
      <c r="F760" s="4"/>
      <c r="G760" s="4"/>
      <c r="H760" s="4"/>
    </row>
    <row r="761">
      <c r="A761" s="4"/>
      <c r="B761" s="47"/>
      <c r="C761" s="4"/>
      <c r="D761" s="4"/>
      <c r="E761" s="4"/>
      <c r="F761" s="4"/>
      <c r="G761" s="4"/>
      <c r="H761" s="4"/>
    </row>
    <row r="762">
      <c r="A762" s="4"/>
      <c r="B762" s="47"/>
      <c r="C762" s="4"/>
      <c r="D762" s="4"/>
      <c r="E762" s="4"/>
      <c r="F762" s="4"/>
      <c r="G762" s="4"/>
      <c r="H762" s="4"/>
    </row>
    <row r="763">
      <c r="A763" s="4"/>
      <c r="B763" s="47"/>
      <c r="C763" s="4"/>
      <c r="D763" s="4"/>
      <c r="E763" s="4"/>
      <c r="F763" s="4"/>
      <c r="G763" s="4"/>
      <c r="H763" s="4"/>
    </row>
    <row r="764">
      <c r="A764" s="4"/>
      <c r="B764" s="47"/>
      <c r="C764" s="4"/>
      <c r="D764" s="4"/>
      <c r="E764" s="4"/>
      <c r="F764" s="4"/>
      <c r="G764" s="4"/>
      <c r="H764" s="4"/>
    </row>
    <row r="765">
      <c r="A765" s="4"/>
      <c r="B765" s="47"/>
      <c r="C765" s="4"/>
      <c r="D765" s="4"/>
      <c r="E765" s="4"/>
      <c r="F765" s="4"/>
      <c r="G765" s="4"/>
      <c r="H765" s="4"/>
    </row>
    <row r="766">
      <c r="A766" s="4"/>
      <c r="B766" s="47"/>
      <c r="C766" s="4"/>
      <c r="D766" s="4"/>
      <c r="E766" s="4"/>
      <c r="F766" s="4"/>
      <c r="G766" s="4"/>
      <c r="H766" s="4"/>
    </row>
    <row r="767">
      <c r="A767" s="4"/>
      <c r="B767" s="47"/>
      <c r="C767" s="4"/>
      <c r="D767" s="4"/>
      <c r="E767" s="4"/>
      <c r="F767" s="4"/>
      <c r="G767" s="4"/>
      <c r="H767" s="4"/>
    </row>
    <row r="768">
      <c r="A768" s="4"/>
      <c r="B768" s="47"/>
      <c r="C768" s="4"/>
      <c r="D768" s="4"/>
      <c r="E768" s="4"/>
      <c r="F768" s="4"/>
      <c r="G768" s="4"/>
      <c r="H768" s="4"/>
    </row>
    <row r="769">
      <c r="A769" s="4"/>
      <c r="B769" s="47"/>
      <c r="C769" s="4"/>
      <c r="D769" s="4"/>
      <c r="E769" s="4"/>
      <c r="F769" s="4"/>
      <c r="G769" s="4"/>
      <c r="H769" s="4"/>
    </row>
    <row r="770">
      <c r="A770" s="4"/>
      <c r="B770" s="47"/>
      <c r="C770" s="4"/>
      <c r="D770" s="4"/>
      <c r="E770" s="4"/>
      <c r="F770" s="4"/>
      <c r="G770" s="4"/>
      <c r="H770" s="4"/>
    </row>
    <row r="771">
      <c r="A771" s="4"/>
      <c r="B771" s="47"/>
      <c r="C771" s="4"/>
      <c r="D771" s="4"/>
      <c r="E771" s="4"/>
      <c r="F771" s="4"/>
      <c r="G771" s="4"/>
      <c r="H771" s="4"/>
    </row>
    <row r="772">
      <c r="A772" s="4"/>
      <c r="B772" s="47"/>
      <c r="C772" s="4"/>
      <c r="D772" s="4"/>
      <c r="E772" s="4"/>
      <c r="F772" s="4"/>
      <c r="G772" s="4"/>
      <c r="H772" s="4"/>
    </row>
    <row r="773">
      <c r="A773" s="4"/>
      <c r="B773" s="47"/>
      <c r="C773" s="4"/>
      <c r="D773" s="4"/>
      <c r="E773" s="4"/>
      <c r="F773" s="4"/>
      <c r="G773" s="4"/>
      <c r="H773" s="4"/>
    </row>
    <row r="774">
      <c r="A774" s="4"/>
      <c r="B774" s="47"/>
      <c r="C774" s="4"/>
      <c r="D774" s="4"/>
      <c r="E774" s="4"/>
      <c r="F774" s="4"/>
      <c r="G774" s="4"/>
      <c r="H774" s="4"/>
    </row>
    <row r="775">
      <c r="A775" s="4"/>
      <c r="B775" s="47"/>
      <c r="C775" s="4"/>
      <c r="D775" s="4"/>
      <c r="E775" s="4"/>
      <c r="F775" s="4"/>
      <c r="G775" s="4"/>
      <c r="H775" s="4"/>
    </row>
    <row r="776">
      <c r="A776" s="4"/>
      <c r="B776" s="47"/>
      <c r="C776" s="4"/>
      <c r="D776" s="4"/>
      <c r="E776" s="4"/>
      <c r="F776" s="4"/>
      <c r="G776" s="4"/>
      <c r="H776" s="4"/>
    </row>
    <row r="777">
      <c r="A777" s="4"/>
      <c r="B777" s="47"/>
      <c r="C777" s="4"/>
      <c r="D777" s="4"/>
      <c r="E777" s="4"/>
      <c r="F777" s="4"/>
      <c r="G777" s="4"/>
      <c r="H777" s="4"/>
    </row>
    <row r="778">
      <c r="A778" s="4"/>
      <c r="B778" s="47"/>
      <c r="C778" s="4"/>
      <c r="D778" s="4"/>
      <c r="E778" s="4"/>
      <c r="F778" s="4"/>
      <c r="G778" s="4"/>
      <c r="H778" s="4"/>
    </row>
    <row r="779">
      <c r="A779" s="4"/>
      <c r="B779" s="47"/>
      <c r="C779" s="4"/>
      <c r="D779" s="4"/>
      <c r="E779" s="4"/>
      <c r="F779" s="4"/>
      <c r="G779" s="4"/>
      <c r="H779" s="4"/>
    </row>
    <row r="780">
      <c r="A780" s="4"/>
      <c r="B780" s="47"/>
      <c r="C780" s="4"/>
      <c r="D780" s="4"/>
      <c r="E780" s="4"/>
      <c r="F780" s="4"/>
      <c r="G780" s="4"/>
      <c r="H780" s="4"/>
    </row>
    <row r="781">
      <c r="A781" s="4"/>
      <c r="B781" s="47"/>
      <c r="C781" s="4"/>
      <c r="D781" s="4"/>
      <c r="E781" s="4"/>
      <c r="F781" s="4"/>
      <c r="G781" s="4"/>
      <c r="H781" s="4"/>
    </row>
    <row r="782">
      <c r="A782" s="4"/>
      <c r="B782" s="47"/>
      <c r="C782" s="4"/>
      <c r="D782" s="4"/>
      <c r="E782" s="4"/>
      <c r="F782" s="4"/>
      <c r="G782" s="4"/>
      <c r="H782" s="4"/>
    </row>
    <row r="783">
      <c r="A783" s="4"/>
      <c r="B783" s="47"/>
      <c r="C783" s="4"/>
      <c r="D783" s="4"/>
      <c r="E783" s="4"/>
      <c r="F783" s="4"/>
      <c r="G783" s="4"/>
      <c r="H783" s="4"/>
    </row>
    <row r="784">
      <c r="A784" s="4"/>
      <c r="B784" s="47"/>
      <c r="C784" s="4"/>
      <c r="D784" s="4"/>
      <c r="E784" s="4"/>
      <c r="F784" s="4"/>
      <c r="G784" s="4"/>
      <c r="H784" s="4"/>
    </row>
    <row r="785">
      <c r="A785" s="4"/>
      <c r="B785" s="47"/>
      <c r="C785" s="4"/>
      <c r="D785" s="4"/>
      <c r="E785" s="4"/>
      <c r="F785" s="4"/>
      <c r="G785" s="4"/>
      <c r="H785" s="4"/>
    </row>
    <row r="786">
      <c r="A786" s="4"/>
      <c r="B786" s="47"/>
      <c r="C786" s="4"/>
      <c r="D786" s="4"/>
      <c r="E786" s="4"/>
      <c r="F786" s="4"/>
      <c r="G786" s="4"/>
      <c r="H786" s="4"/>
    </row>
    <row r="787">
      <c r="A787" s="4"/>
      <c r="B787" s="47"/>
      <c r="C787" s="4"/>
      <c r="D787" s="4"/>
      <c r="E787" s="4"/>
      <c r="F787" s="4"/>
      <c r="G787" s="4"/>
      <c r="H787" s="4"/>
    </row>
    <row r="788">
      <c r="A788" s="4"/>
      <c r="B788" s="47"/>
      <c r="C788" s="4"/>
      <c r="D788" s="4"/>
      <c r="E788" s="4"/>
      <c r="F788" s="4"/>
      <c r="G788" s="4"/>
      <c r="H788" s="4"/>
    </row>
    <row r="789">
      <c r="A789" s="4"/>
      <c r="B789" s="47"/>
      <c r="C789" s="4"/>
      <c r="D789" s="4"/>
      <c r="E789" s="4"/>
      <c r="F789" s="4"/>
      <c r="G789" s="4"/>
      <c r="H789" s="4"/>
    </row>
    <row r="790">
      <c r="A790" s="4"/>
      <c r="B790" s="47"/>
      <c r="C790" s="4"/>
      <c r="D790" s="4"/>
      <c r="E790" s="4"/>
      <c r="F790" s="4"/>
      <c r="G790" s="4"/>
      <c r="H790" s="4"/>
    </row>
    <row r="791">
      <c r="A791" s="4"/>
      <c r="B791" s="47"/>
      <c r="C791" s="4"/>
      <c r="D791" s="4"/>
      <c r="E791" s="4"/>
      <c r="F791" s="4"/>
      <c r="G791" s="4"/>
      <c r="H791" s="4"/>
    </row>
    <row r="792">
      <c r="A792" s="4"/>
      <c r="B792" s="47"/>
      <c r="C792" s="4"/>
      <c r="D792" s="4"/>
      <c r="E792" s="4"/>
      <c r="F792" s="4"/>
      <c r="G792" s="4"/>
      <c r="H792" s="4"/>
    </row>
    <row r="793">
      <c r="A793" s="4"/>
      <c r="B793" s="47"/>
      <c r="C793" s="4"/>
      <c r="D793" s="4"/>
      <c r="E793" s="4"/>
      <c r="F793" s="4"/>
      <c r="G793" s="4"/>
      <c r="H793" s="4"/>
    </row>
    <row r="794">
      <c r="A794" s="4"/>
      <c r="B794" s="47"/>
      <c r="C794" s="4"/>
      <c r="D794" s="4"/>
      <c r="E794" s="4"/>
      <c r="F794" s="4"/>
      <c r="G794" s="4"/>
      <c r="H794" s="4"/>
    </row>
    <row r="795">
      <c r="A795" s="4"/>
      <c r="B795" s="47"/>
      <c r="C795" s="4"/>
      <c r="D795" s="4"/>
      <c r="E795" s="4"/>
      <c r="F795" s="4"/>
      <c r="G795" s="4"/>
      <c r="H795" s="4"/>
    </row>
    <row r="796">
      <c r="A796" s="4"/>
      <c r="B796" s="47"/>
      <c r="C796" s="4"/>
      <c r="D796" s="4"/>
      <c r="E796" s="4"/>
      <c r="F796" s="4"/>
      <c r="G796" s="4"/>
      <c r="H796" s="4"/>
    </row>
    <row r="797">
      <c r="A797" s="4"/>
      <c r="B797" s="47"/>
      <c r="C797" s="4"/>
      <c r="D797" s="4"/>
      <c r="E797" s="4"/>
      <c r="F797" s="4"/>
      <c r="G797" s="4"/>
      <c r="H797" s="4"/>
    </row>
    <row r="798">
      <c r="A798" s="4"/>
      <c r="B798" s="47"/>
      <c r="C798" s="4"/>
      <c r="D798" s="4"/>
      <c r="E798" s="4"/>
      <c r="F798" s="4"/>
      <c r="G798" s="4"/>
      <c r="H798" s="4"/>
    </row>
    <row r="799">
      <c r="A799" s="4"/>
      <c r="B799" s="47"/>
      <c r="C799" s="4"/>
      <c r="D799" s="4"/>
      <c r="E799" s="4"/>
      <c r="F799" s="4"/>
      <c r="G799" s="4"/>
      <c r="H799" s="4"/>
    </row>
    <row r="800">
      <c r="A800" s="4"/>
      <c r="B800" s="47"/>
      <c r="C800" s="4"/>
      <c r="D800" s="4"/>
      <c r="E800" s="4"/>
      <c r="F800" s="4"/>
      <c r="G800" s="4"/>
      <c r="H800" s="4"/>
    </row>
    <row r="801">
      <c r="A801" s="4"/>
      <c r="B801" s="47"/>
      <c r="C801" s="4"/>
      <c r="D801" s="4"/>
      <c r="E801" s="4"/>
      <c r="F801" s="4"/>
      <c r="G801" s="4"/>
      <c r="H801" s="4"/>
    </row>
    <row r="802">
      <c r="A802" s="4"/>
      <c r="B802" s="47"/>
      <c r="C802" s="4"/>
      <c r="D802" s="4"/>
      <c r="E802" s="4"/>
      <c r="F802" s="4"/>
      <c r="G802" s="4"/>
      <c r="H802" s="4"/>
    </row>
    <row r="803">
      <c r="A803" s="4"/>
      <c r="B803" s="47"/>
      <c r="C803" s="4"/>
      <c r="D803" s="4"/>
      <c r="E803" s="4"/>
      <c r="F803" s="4"/>
      <c r="G803" s="4"/>
      <c r="H803" s="4"/>
    </row>
    <row r="804">
      <c r="A804" s="4"/>
      <c r="B804" s="47"/>
      <c r="C804" s="4"/>
      <c r="D804" s="4"/>
      <c r="E804" s="4"/>
      <c r="F804" s="4"/>
      <c r="G804" s="4"/>
      <c r="H804" s="4"/>
    </row>
    <row r="805">
      <c r="A805" s="4"/>
      <c r="B805" s="47"/>
      <c r="C805" s="4"/>
      <c r="D805" s="4"/>
      <c r="E805" s="4"/>
      <c r="F805" s="4"/>
      <c r="G805" s="4"/>
      <c r="H805" s="4"/>
    </row>
    <row r="806">
      <c r="A806" s="4"/>
      <c r="B806" s="47"/>
      <c r="C806" s="4"/>
      <c r="D806" s="4"/>
      <c r="E806" s="4"/>
      <c r="F806" s="4"/>
      <c r="G806" s="4"/>
      <c r="H806" s="4"/>
    </row>
    <row r="807">
      <c r="A807" s="4"/>
      <c r="B807" s="47"/>
      <c r="C807" s="4"/>
      <c r="D807" s="4"/>
      <c r="E807" s="4"/>
      <c r="F807" s="4"/>
      <c r="G807" s="4"/>
      <c r="H807" s="4"/>
    </row>
    <row r="808">
      <c r="A808" s="4"/>
      <c r="B808" s="47"/>
      <c r="C808" s="4"/>
      <c r="D808" s="4"/>
      <c r="E808" s="4"/>
      <c r="F808" s="4"/>
      <c r="G808" s="4"/>
      <c r="H808" s="4"/>
    </row>
    <row r="809">
      <c r="A809" s="4"/>
      <c r="B809" s="47"/>
      <c r="C809" s="4"/>
      <c r="D809" s="4"/>
      <c r="E809" s="4"/>
      <c r="F809" s="4"/>
      <c r="G809" s="4"/>
      <c r="H809" s="4"/>
    </row>
    <row r="810">
      <c r="A810" s="4"/>
      <c r="B810" s="47"/>
      <c r="C810" s="4"/>
      <c r="D810" s="4"/>
      <c r="E810" s="4"/>
      <c r="F810" s="4"/>
      <c r="G810" s="4"/>
      <c r="H810" s="4"/>
    </row>
    <row r="811">
      <c r="A811" s="4"/>
      <c r="B811" s="47"/>
      <c r="C811" s="4"/>
      <c r="D811" s="4"/>
      <c r="E811" s="4"/>
      <c r="F811" s="4"/>
      <c r="G811" s="4"/>
      <c r="H811" s="4"/>
    </row>
    <row r="812">
      <c r="A812" s="4"/>
      <c r="B812" s="47"/>
      <c r="C812" s="4"/>
      <c r="D812" s="4"/>
      <c r="E812" s="4"/>
      <c r="F812" s="4"/>
      <c r="G812" s="4"/>
      <c r="H812" s="4"/>
    </row>
    <row r="813">
      <c r="A813" s="4"/>
      <c r="B813" s="47"/>
      <c r="C813" s="4"/>
      <c r="D813" s="4"/>
      <c r="E813" s="4"/>
      <c r="F813" s="4"/>
      <c r="G813" s="4"/>
      <c r="H813" s="4"/>
    </row>
    <row r="814">
      <c r="A814" s="4"/>
      <c r="B814" s="47"/>
      <c r="C814" s="4"/>
      <c r="D814" s="4"/>
      <c r="E814" s="4"/>
      <c r="F814" s="4"/>
      <c r="G814" s="4"/>
      <c r="H814" s="4"/>
    </row>
    <row r="815">
      <c r="A815" s="4"/>
      <c r="B815" s="47"/>
      <c r="C815" s="4"/>
      <c r="D815" s="4"/>
      <c r="E815" s="4"/>
      <c r="F815" s="4"/>
      <c r="G815" s="4"/>
      <c r="H815" s="4"/>
    </row>
    <row r="816">
      <c r="A816" s="4"/>
      <c r="B816" s="47"/>
      <c r="C816" s="4"/>
      <c r="D816" s="4"/>
      <c r="E816" s="4"/>
      <c r="F816" s="4"/>
      <c r="G816" s="4"/>
      <c r="H816" s="4"/>
    </row>
    <row r="817">
      <c r="A817" s="4"/>
      <c r="B817" s="47"/>
      <c r="C817" s="4"/>
      <c r="D817" s="4"/>
      <c r="E817" s="4"/>
      <c r="F817" s="4"/>
      <c r="G817" s="4"/>
      <c r="H817" s="4"/>
    </row>
    <row r="818">
      <c r="A818" s="4"/>
      <c r="B818" s="47"/>
      <c r="C818" s="4"/>
      <c r="D818" s="4"/>
      <c r="E818" s="4"/>
      <c r="F818" s="4"/>
      <c r="G818" s="4"/>
      <c r="H818" s="4"/>
    </row>
    <row r="819">
      <c r="A819" s="4"/>
      <c r="B819" s="47"/>
      <c r="C819" s="4"/>
      <c r="D819" s="4"/>
      <c r="E819" s="4"/>
      <c r="F819" s="4"/>
      <c r="G819" s="4"/>
      <c r="H819" s="4"/>
    </row>
    <row r="820">
      <c r="A820" s="4"/>
      <c r="B820" s="47"/>
      <c r="C820" s="4"/>
      <c r="D820" s="4"/>
      <c r="E820" s="4"/>
      <c r="F820" s="4"/>
      <c r="G820" s="4"/>
      <c r="H820" s="4"/>
    </row>
    <row r="821">
      <c r="A821" s="4"/>
      <c r="B821" s="47"/>
      <c r="C821" s="4"/>
      <c r="D821" s="4"/>
      <c r="E821" s="4"/>
      <c r="F821" s="4"/>
      <c r="G821" s="4"/>
      <c r="H821" s="4"/>
    </row>
    <row r="822">
      <c r="A822" s="4"/>
      <c r="B822" s="47"/>
      <c r="C822" s="4"/>
      <c r="D822" s="4"/>
      <c r="E822" s="4"/>
      <c r="F822" s="4"/>
      <c r="G822" s="4"/>
      <c r="H822" s="4"/>
    </row>
    <row r="823">
      <c r="A823" s="4"/>
      <c r="B823" s="47"/>
      <c r="C823" s="4"/>
      <c r="D823" s="4"/>
      <c r="E823" s="4"/>
      <c r="F823" s="4"/>
      <c r="G823" s="4"/>
      <c r="H823" s="4"/>
    </row>
    <row r="824">
      <c r="A824" s="4"/>
      <c r="B824" s="47"/>
      <c r="C824" s="4"/>
      <c r="D824" s="4"/>
      <c r="E824" s="4"/>
      <c r="F824" s="4"/>
      <c r="G824" s="4"/>
      <c r="H824" s="4"/>
    </row>
    <row r="825">
      <c r="A825" s="4"/>
      <c r="B825" s="47"/>
      <c r="C825" s="4"/>
      <c r="D825" s="4"/>
      <c r="E825" s="4"/>
      <c r="F825" s="4"/>
      <c r="G825" s="4"/>
      <c r="H825" s="4"/>
    </row>
    <row r="826">
      <c r="A826" s="4"/>
      <c r="B826" s="47"/>
      <c r="C826" s="4"/>
      <c r="D826" s="4"/>
      <c r="E826" s="4"/>
      <c r="F826" s="4"/>
      <c r="G826" s="4"/>
      <c r="H826" s="4"/>
    </row>
    <row r="827">
      <c r="A827" s="4"/>
      <c r="B827" s="47"/>
      <c r="C827" s="4"/>
      <c r="D827" s="4"/>
      <c r="E827" s="4"/>
      <c r="F827" s="4"/>
      <c r="G827" s="4"/>
      <c r="H827" s="4"/>
    </row>
    <row r="828">
      <c r="A828" s="4"/>
      <c r="B828" s="47"/>
      <c r="C828" s="4"/>
      <c r="D828" s="4"/>
      <c r="E828" s="4"/>
      <c r="F828" s="4"/>
      <c r="G828" s="4"/>
      <c r="H828" s="4"/>
    </row>
    <row r="829">
      <c r="A829" s="4"/>
      <c r="B829" s="47"/>
      <c r="C829" s="4"/>
      <c r="D829" s="4"/>
      <c r="E829" s="4"/>
      <c r="F829" s="4"/>
      <c r="G829" s="4"/>
      <c r="H829" s="4"/>
    </row>
    <row r="830">
      <c r="A830" s="4"/>
      <c r="B830" s="47"/>
      <c r="C830" s="4"/>
      <c r="D830" s="4"/>
      <c r="E830" s="4"/>
      <c r="F830" s="4"/>
      <c r="G830" s="4"/>
      <c r="H830" s="4"/>
    </row>
    <row r="831">
      <c r="A831" s="4"/>
      <c r="B831" s="47"/>
      <c r="C831" s="4"/>
      <c r="D831" s="4"/>
      <c r="E831" s="4"/>
      <c r="F831" s="4"/>
      <c r="G831" s="4"/>
      <c r="H831" s="4"/>
    </row>
    <row r="832">
      <c r="A832" s="4"/>
      <c r="B832" s="47"/>
      <c r="C832" s="4"/>
      <c r="D832" s="4"/>
      <c r="E832" s="4"/>
      <c r="F832" s="4"/>
      <c r="G832" s="4"/>
      <c r="H832" s="4"/>
    </row>
    <row r="833">
      <c r="A833" s="4"/>
      <c r="B833" s="47"/>
      <c r="C833" s="4"/>
      <c r="D833" s="4"/>
      <c r="E833" s="4"/>
      <c r="F833" s="4"/>
      <c r="G833" s="4"/>
      <c r="H833" s="4"/>
    </row>
    <row r="834">
      <c r="A834" s="4"/>
      <c r="B834" s="47"/>
      <c r="C834" s="4"/>
      <c r="D834" s="4"/>
      <c r="E834" s="4"/>
      <c r="F834" s="4"/>
      <c r="G834" s="4"/>
      <c r="H834" s="4"/>
    </row>
    <row r="835">
      <c r="A835" s="4"/>
      <c r="B835" s="47"/>
      <c r="C835" s="4"/>
      <c r="D835" s="4"/>
      <c r="E835" s="4"/>
      <c r="F835" s="4"/>
      <c r="G835" s="4"/>
      <c r="H835" s="4"/>
    </row>
    <row r="836">
      <c r="A836" s="4"/>
      <c r="B836" s="47"/>
      <c r="C836" s="4"/>
      <c r="D836" s="4"/>
      <c r="E836" s="4"/>
      <c r="F836" s="4"/>
      <c r="G836" s="4"/>
      <c r="H836" s="4"/>
    </row>
    <row r="837">
      <c r="A837" s="4"/>
      <c r="B837" s="47"/>
      <c r="C837" s="4"/>
      <c r="D837" s="4"/>
      <c r="E837" s="4"/>
      <c r="F837" s="4"/>
      <c r="G837" s="4"/>
      <c r="H837" s="4"/>
    </row>
    <row r="838">
      <c r="A838" s="4"/>
      <c r="B838" s="47"/>
      <c r="C838" s="4"/>
      <c r="D838" s="4"/>
      <c r="E838" s="4"/>
      <c r="F838" s="4"/>
      <c r="G838" s="4"/>
      <c r="H838" s="4"/>
    </row>
    <row r="839">
      <c r="A839" s="4"/>
      <c r="B839" s="47"/>
      <c r="C839" s="4"/>
      <c r="D839" s="4"/>
      <c r="E839" s="4"/>
      <c r="F839" s="4"/>
      <c r="G839" s="4"/>
      <c r="H839" s="4"/>
    </row>
    <row r="840">
      <c r="A840" s="4"/>
      <c r="B840" s="47"/>
      <c r="C840" s="4"/>
      <c r="D840" s="4"/>
      <c r="E840" s="4"/>
      <c r="F840" s="4"/>
      <c r="G840" s="4"/>
      <c r="H840" s="4"/>
    </row>
    <row r="841">
      <c r="A841" s="4"/>
      <c r="B841" s="47"/>
      <c r="C841" s="4"/>
      <c r="D841" s="4"/>
      <c r="E841" s="4"/>
      <c r="F841" s="4"/>
      <c r="G841" s="4"/>
      <c r="H841" s="4"/>
    </row>
    <row r="842">
      <c r="A842" s="4"/>
      <c r="B842" s="47"/>
      <c r="C842" s="4"/>
      <c r="D842" s="4"/>
      <c r="E842" s="4"/>
      <c r="F842" s="4"/>
      <c r="G842" s="4"/>
      <c r="H842" s="4"/>
    </row>
    <row r="843">
      <c r="A843" s="4"/>
      <c r="B843" s="47"/>
      <c r="C843" s="4"/>
      <c r="D843" s="4"/>
      <c r="E843" s="4"/>
      <c r="F843" s="4"/>
      <c r="G843" s="4"/>
      <c r="H843" s="4"/>
    </row>
    <row r="844">
      <c r="A844" s="4"/>
      <c r="B844" s="47"/>
      <c r="C844" s="4"/>
      <c r="D844" s="4"/>
      <c r="E844" s="4"/>
      <c r="F844" s="4"/>
      <c r="G844" s="4"/>
      <c r="H844" s="4"/>
    </row>
    <row r="845">
      <c r="A845" s="4"/>
      <c r="B845" s="47"/>
      <c r="C845" s="4"/>
      <c r="D845" s="4"/>
      <c r="E845" s="4"/>
      <c r="F845" s="4"/>
      <c r="G845" s="4"/>
      <c r="H845" s="4"/>
    </row>
    <row r="846">
      <c r="A846" s="4"/>
      <c r="B846" s="47"/>
      <c r="C846" s="4"/>
      <c r="D846" s="4"/>
      <c r="E846" s="4"/>
      <c r="F846" s="4"/>
      <c r="G846" s="4"/>
      <c r="H846" s="4"/>
    </row>
    <row r="847">
      <c r="A847" s="4"/>
      <c r="B847" s="47"/>
      <c r="C847" s="4"/>
      <c r="D847" s="4"/>
      <c r="E847" s="4"/>
      <c r="F847" s="4"/>
      <c r="G847" s="4"/>
      <c r="H847" s="4"/>
    </row>
    <row r="848">
      <c r="A848" s="4"/>
      <c r="B848" s="47"/>
      <c r="C848" s="4"/>
      <c r="D848" s="4"/>
      <c r="E848" s="4"/>
      <c r="F848" s="4"/>
      <c r="G848" s="4"/>
      <c r="H848" s="4"/>
    </row>
    <row r="849">
      <c r="A849" s="4"/>
      <c r="B849" s="47"/>
      <c r="C849" s="4"/>
      <c r="D849" s="4"/>
      <c r="E849" s="4"/>
      <c r="F849" s="4"/>
      <c r="G849" s="4"/>
      <c r="H849" s="4"/>
    </row>
    <row r="850">
      <c r="A850" s="4"/>
      <c r="B850" s="47"/>
      <c r="C850" s="4"/>
      <c r="D850" s="4"/>
      <c r="E850" s="4"/>
      <c r="F850" s="4"/>
      <c r="G850" s="4"/>
      <c r="H850" s="4"/>
    </row>
    <row r="851">
      <c r="A851" s="4"/>
      <c r="B851" s="47"/>
      <c r="C851" s="4"/>
      <c r="D851" s="4"/>
      <c r="E851" s="4"/>
      <c r="F851" s="4"/>
      <c r="G851" s="4"/>
      <c r="H851" s="4"/>
    </row>
    <row r="852">
      <c r="A852" s="4"/>
      <c r="B852" s="47"/>
      <c r="C852" s="4"/>
      <c r="D852" s="4"/>
      <c r="E852" s="4"/>
      <c r="F852" s="4"/>
      <c r="G852" s="4"/>
      <c r="H852" s="4"/>
    </row>
    <row r="853">
      <c r="A853" s="4"/>
      <c r="B853" s="47"/>
      <c r="C853" s="4"/>
      <c r="D853" s="4"/>
      <c r="E853" s="4"/>
      <c r="F853" s="4"/>
      <c r="G853" s="4"/>
      <c r="H853" s="4"/>
    </row>
    <row r="854">
      <c r="A854" s="4"/>
      <c r="B854" s="47"/>
      <c r="C854" s="4"/>
      <c r="D854" s="4"/>
      <c r="E854" s="4"/>
      <c r="F854" s="4"/>
      <c r="G854" s="4"/>
      <c r="H854" s="4"/>
    </row>
    <row r="855">
      <c r="A855" s="4"/>
      <c r="B855" s="47"/>
      <c r="C855" s="4"/>
      <c r="D855" s="4"/>
      <c r="E855" s="4"/>
      <c r="F855" s="4"/>
      <c r="G855" s="4"/>
      <c r="H855" s="4"/>
    </row>
    <row r="856">
      <c r="A856" s="4"/>
      <c r="B856" s="47"/>
      <c r="C856" s="4"/>
      <c r="D856" s="4"/>
      <c r="E856" s="4"/>
      <c r="F856" s="4"/>
      <c r="G856" s="4"/>
      <c r="H856" s="4"/>
    </row>
    <row r="857">
      <c r="A857" s="4"/>
      <c r="B857" s="47"/>
      <c r="C857" s="4"/>
      <c r="D857" s="4"/>
      <c r="E857" s="4"/>
      <c r="F857" s="4"/>
      <c r="G857" s="4"/>
      <c r="H857" s="4"/>
    </row>
    <row r="858">
      <c r="A858" s="4"/>
      <c r="B858" s="47"/>
      <c r="C858" s="4"/>
      <c r="D858" s="4"/>
      <c r="E858" s="4"/>
      <c r="F858" s="4"/>
      <c r="G858" s="4"/>
      <c r="H858" s="4"/>
    </row>
    <row r="859">
      <c r="A859" s="4"/>
      <c r="B859" s="47"/>
      <c r="C859" s="4"/>
      <c r="D859" s="4"/>
      <c r="E859" s="4"/>
      <c r="F859" s="4"/>
      <c r="G859" s="4"/>
      <c r="H859" s="4"/>
    </row>
    <row r="860">
      <c r="A860" s="4"/>
      <c r="B860" s="47"/>
      <c r="C860" s="4"/>
      <c r="D860" s="4"/>
      <c r="E860" s="4"/>
      <c r="F860" s="4"/>
      <c r="G860" s="4"/>
      <c r="H860" s="4"/>
    </row>
    <row r="861">
      <c r="A861" s="4"/>
      <c r="B861" s="47"/>
      <c r="C861" s="4"/>
      <c r="D861" s="4"/>
      <c r="E861" s="4"/>
      <c r="F861" s="4"/>
      <c r="G861" s="4"/>
      <c r="H861" s="4"/>
    </row>
    <row r="862">
      <c r="A862" s="4"/>
      <c r="B862" s="47"/>
      <c r="C862" s="4"/>
      <c r="D862" s="4"/>
      <c r="E862" s="4"/>
      <c r="F862" s="4"/>
      <c r="G862" s="4"/>
      <c r="H862" s="4"/>
    </row>
    <row r="863">
      <c r="A863" s="4"/>
      <c r="B863" s="47"/>
      <c r="C863" s="4"/>
      <c r="D863" s="4"/>
      <c r="E863" s="4"/>
      <c r="F863" s="4"/>
      <c r="G863" s="4"/>
      <c r="H863" s="4"/>
    </row>
    <row r="864">
      <c r="A864" s="4"/>
      <c r="B864" s="47"/>
      <c r="C864" s="4"/>
      <c r="D864" s="4"/>
      <c r="E864" s="4"/>
      <c r="F864" s="4"/>
      <c r="G864" s="4"/>
      <c r="H864" s="4"/>
    </row>
    <row r="865">
      <c r="A865" s="4"/>
      <c r="B865" s="47"/>
      <c r="C865" s="4"/>
      <c r="D865" s="4"/>
      <c r="E865" s="4"/>
      <c r="F865" s="4"/>
      <c r="G865" s="4"/>
      <c r="H865" s="4"/>
    </row>
    <row r="866">
      <c r="A866" s="4"/>
      <c r="B866" s="47"/>
      <c r="C866" s="4"/>
      <c r="D866" s="4"/>
      <c r="E866" s="4"/>
      <c r="F866" s="4"/>
      <c r="G866" s="4"/>
      <c r="H866" s="4"/>
    </row>
    <row r="867">
      <c r="A867" s="4"/>
      <c r="B867" s="47"/>
      <c r="C867" s="4"/>
      <c r="D867" s="4"/>
      <c r="E867" s="4"/>
      <c r="F867" s="4"/>
      <c r="G867" s="4"/>
      <c r="H867" s="4"/>
    </row>
    <row r="868">
      <c r="A868" s="4"/>
      <c r="B868" s="47"/>
      <c r="C868" s="4"/>
      <c r="D868" s="4"/>
      <c r="E868" s="4"/>
      <c r="F868" s="4"/>
      <c r="G868" s="4"/>
      <c r="H868" s="4"/>
    </row>
    <row r="869">
      <c r="A869" s="4"/>
      <c r="B869" s="47"/>
      <c r="C869" s="4"/>
      <c r="D869" s="4"/>
      <c r="E869" s="4"/>
      <c r="F869" s="4"/>
      <c r="G869" s="4"/>
      <c r="H869" s="4"/>
    </row>
    <row r="870">
      <c r="A870" s="4"/>
      <c r="B870" s="47"/>
      <c r="C870" s="4"/>
      <c r="D870" s="4"/>
      <c r="E870" s="4"/>
      <c r="F870" s="4"/>
      <c r="G870" s="4"/>
      <c r="H870" s="4"/>
    </row>
    <row r="871">
      <c r="A871" s="4"/>
      <c r="B871" s="47"/>
      <c r="C871" s="4"/>
      <c r="D871" s="4"/>
      <c r="E871" s="4"/>
      <c r="F871" s="4"/>
      <c r="G871" s="4"/>
      <c r="H871" s="4"/>
    </row>
    <row r="872">
      <c r="A872" s="4"/>
      <c r="B872" s="47"/>
      <c r="C872" s="4"/>
      <c r="D872" s="4"/>
      <c r="E872" s="4"/>
      <c r="F872" s="4"/>
      <c r="G872" s="4"/>
      <c r="H872" s="4"/>
    </row>
    <row r="873">
      <c r="A873" s="4"/>
      <c r="B873" s="47"/>
      <c r="C873" s="4"/>
      <c r="D873" s="4"/>
      <c r="E873" s="4"/>
      <c r="F873" s="4"/>
      <c r="G873" s="4"/>
      <c r="H873" s="4"/>
    </row>
    <row r="874">
      <c r="A874" s="4"/>
      <c r="B874" s="47"/>
      <c r="C874" s="4"/>
      <c r="D874" s="4"/>
      <c r="E874" s="4"/>
      <c r="F874" s="4"/>
      <c r="G874" s="4"/>
      <c r="H874" s="4"/>
    </row>
    <row r="875">
      <c r="A875" s="4"/>
      <c r="B875" s="47"/>
      <c r="C875" s="4"/>
      <c r="D875" s="4"/>
      <c r="E875" s="4"/>
      <c r="F875" s="4"/>
      <c r="G875" s="4"/>
      <c r="H875" s="4"/>
    </row>
    <row r="876">
      <c r="A876" s="4"/>
      <c r="B876" s="47"/>
      <c r="C876" s="4"/>
      <c r="D876" s="4"/>
      <c r="E876" s="4"/>
      <c r="F876" s="4"/>
      <c r="G876" s="4"/>
      <c r="H876" s="4"/>
    </row>
    <row r="877">
      <c r="A877" s="4"/>
      <c r="B877" s="47"/>
      <c r="C877" s="4"/>
      <c r="D877" s="4"/>
      <c r="E877" s="4"/>
      <c r="F877" s="4"/>
      <c r="G877" s="4"/>
      <c r="H877" s="4"/>
    </row>
    <row r="878">
      <c r="A878" s="4"/>
      <c r="B878" s="47"/>
      <c r="C878" s="4"/>
      <c r="D878" s="4"/>
      <c r="E878" s="4"/>
      <c r="F878" s="4"/>
      <c r="G878" s="4"/>
      <c r="H878" s="4"/>
    </row>
    <row r="879">
      <c r="A879" s="4"/>
      <c r="B879" s="47"/>
      <c r="C879" s="4"/>
      <c r="D879" s="4"/>
      <c r="E879" s="4"/>
      <c r="F879" s="4"/>
      <c r="G879" s="4"/>
      <c r="H879" s="4"/>
    </row>
    <row r="880">
      <c r="A880" s="4"/>
      <c r="B880" s="47"/>
      <c r="C880" s="4"/>
      <c r="D880" s="4"/>
      <c r="E880" s="4"/>
      <c r="F880" s="4"/>
      <c r="G880" s="4"/>
      <c r="H880" s="4"/>
    </row>
    <row r="881">
      <c r="A881" s="4"/>
      <c r="B881" s="47"/>
      <c r="C881" s="4"/>
      <c r="D881" s="4"/>
      <c r="E881" s="4"/>
      <c r="F881" s="4"/>
      <c r="G881" s="4"/>
      <c r="H881" s="4"/>
    </row>
    <row r="882">
      <c r="A882" s="4"/>
      <c r="B882" s="47"/>
      <c r="C882" s="4"/>
      <c r="D882" s="4"/>
      <c r="E882" s="4"/>
      <c r="F882" s="4"/>
      <c r="G882" s="4"/>
      <c r="H882" s="4"/>
    </row>
    <row r="883">
      <c r="A883" s="4"/>
      <c r="B883" s="47"/>
      <c r="C883" s="4"/>
      <c r="D883" s="4"/>
      <c r="E883" s="4"/>
      <c r="F883" s="4"/>
      <c r="G883" s="4"/>
      <c r="H883" s="4"/>
    </row>
    <row r="884">
      <c r="A884" s="4"/>
      <c r="B884" s="47"/>
      <c r="C884" s="4"/>
      <c r="D884" s="4"/>
      <c r="E884" s="4"/>
      <c r="F884" s="4"/>
      <c r="G884" s="4"/>
      <c r="H884" s="4"/>
    </row>
    <row r="885">
      <c r="A885" s="4"/>
      <c r="B885" s="47"/>
      <c r="C885" s="4"/>
      <c r="D885" s="4"/>
      <c r="E885" s="4"/>
      <c r="F885" s="4"/>
      <c r="G885" s="4"/>
      <c r="H885" s="4"/>
    </row>
    <row r="886">
      <c r="A886" s="4"/>
      <c r="B886" s="47"/>
      <c r="C886" s="4"/>
      <c r="D886" s="4"/>
      <c r="E886" s="4"/>
      <c r="F886" s="4"/>
      <c r="G886" s="4"/>
      <c r="H886" s="4"/>
    </row>
    <row r="887">
      <c r="A887" s="4"/>
      <c r="B887" s="47"/>
      <c r="C887" s="4"/>
      <c r="D887" s="4"/>
      <c r="E887" s="4"/>
      <c r="F887" s="4"/>
      <c r="G887" s="4"/>
      <c r="H887" s="4"/>
    </row>
    <row r="888">
      <c r="A888" s="4"/>
      <c r="B888" s="47"/>
      <c r="C888" s="4"/>
      <c r="D888" s="4"/>
      <c r="E888" s="4"/>
      <c r="F888" s="4"/>
      <c r="G888" s="4"/>
      <c r="H888" s="4"/>
    </row>
    <row r="889">
      <c r="A889" s="4"/>
      <c r="B889" s="47"/>
      <c r="C889" s="4"/>
      <c r="D889" s="4"/>
      <c r="E889" s="4"/>
      <c r="F889" s="4"/>
      <c r="G889" s="4"/>
      <c r="H889" s="4"/>
    </row>
    <row r="890">
      <c r="A890" s="4"/>
      <c r="B890" s="47"/>
      <c r="C890" s="4"/>
      <c r="D890" s="4"/>
      <c r="E890" s="4"/>
      <c r="F890" s="4"/>
      <c r="G890" s="4"/>
      <c r="H890" s="4"/>
    </row>
    <row r="891">
      <c r="A891" s="4"/>
      <c r="B891" s="47"/>
      <c r="C891" s="4"/>
      <c r="D891" s="4"/>
      <c r="E891" s="4"/>
      <c r="F891" s="4"/>
      <c r="G891" s="4"/>
      <c r="H891" s="4"/>
    </row>
    <row r="892">
      <c r="A892" s="4"/>
      <c r="B892" s="47"/>
      <c r="C892" s="4"/>
      <c r="D892" s="4"/>
      <c r="E892" s="4"/>
      <c r="F892" s="4"/>
      <c r="G892" s="4"/>
      <c r="H892" s="4"/>
    </row>
    <row r="893">
      <c r="A893" s="4"/>
      <c r="B893" s="47"/>
      <c r="C893" s="4"/>
      <c r="D893" s="4"/>
      <c r="E893" s="4"/>
      <c r="F893" s="4"/>
      <c r="G893" s="4"/>
      <c r="H893" s="4"/>
    </row>
    <row r="894">
      <c r="A894" s="4"/>
      <c r="B894" s="47"/>
      <c r="C894" s="4"/>
      <c r="D894" s="4"/>
      <c r="E894" s="4"/>
      <c r="F894" s="4"/>
      <c r="G894" s="4"/>
      <c r="H894" s="4"/>
    </row>
    <row r="895">
      <c r="A895" s="4"/>
      <c r="B895" s="47"/>
      <c r="C895" s="4"/>
      <c r="D895" s="4"/>
      <c r="E895" s="4"/>
      <c r="F895" s="4"/>
      <c r="G895" s="4"/>
      <c r="H895" s="4"/>
    </row>
    <row r="896">
      <c r="A896" s="4"/>
      <c r="B896" s="47"/>
      <c r="C896" s="4"/>
      <c r="D896" s="4"/>
      <c r="E896" s="4"/>
      <c r="F896" s="4"/>
      <c r="G896" s="4"/>
      <c r="H896" s="4"/>
    </row>
    <row r="897">
      <c r="A897" s="4"/>
      <c r="B897" s="47"/>
      <c r="C897" s="4"/>
      <c r="D897" s="4"/>
      <c r="E897" s="4"/>
      <c r="F897" s="4"/>
      <c r="G897" s="4"/>
      <c r="H897" s="4"/>
    </row>
    <row r="898">
      <c r="A898" s="4"/>
      <c r="B898" s="47"/>
      <c r="C898" s="4"/>
      <c r="D898" s="4"/>
      <c r="E898" s="4"/>
      <c r="F898" s="4"/>
      <c r="G898" s="4"/>
      <c r="H898" s="4"/>
    </row>
    <row r="899">
      <c r="A899" s="4"/>
      <c r="B899" s="47"/>
      <c r="C899" s="4"/>
      <c r="D899" s="4"/>
      <c r="E899" s="4"/>
      <c r="F899" s="4"/>
      <c r="G899" s="4"/>
      <c r="H899" s="4"/>
    </row>
    <row r="900">
      <c r="A900" s="4"/>
      <c r="B900" s="47"/>
      <c r="C900" s="4"/>
      <c r="D900" s="4"/>
      <c r="E900" s="4"/>
      <c r="F900" s="4"/>
      <c r="G900" s="4"/>
      <c r="H900" s="4"/>
    </row>
    <row r="901">
      <c r="A901" s="4"/>
      <c r="B901" s="47"/>
      <c r="C901" s="4"/>
      <c r="D901" s="4"/>
      <c r="E901" s="4"/>
      <c r="F901" s="4"/>
      <c r="G901" s="4"/>
      <c r="H901" s="4"/>
    </row>
    <row r="902">
      <c r="A902" s="4"/>
      <c r="B902" s="47"/>
      <c r="C902" s="4"/>
      <c r="D902" s="4"/>
      <c r="E902" s="4"/>
      <c r="F902" s="4"/>
      <c r="G902" s="4"/>
      <c r="H902" s="4"/>
    </row>
    <row r="903">
      <c r="A903" s="4"/>
      <c r="B903" s="47"/>
      <c r="C903" s="4"/>
      <c r="D903" s="4"/>
      <c r="E903" s="4"/>
      <c r="F903" s="4"/>
      <c r="G903" s="4"/>
      <c r="H903" s="4"/>
    </row>
    <row r="904">
      <c r="A904" s="4"/>
      <c r="B904" s="47"/>
      <c r="C904" s="4"/>
      <c r="D904" s="4"/>
      <c r="E904" s="4"/>
      <c r="F904" s="4"/>
      <c r="G904" s="4"/>
      <c r="H904" s="4"/>
    </row>
    <row r="905">
      <c r="A905" s="4"/>
      <c r="B905" s="47"/>
      <c r="C905" s="4"/>
      <c r="D905" s="4"/>
      <c r="E905" s="4"/>
      <c r="F905" s="4"/>
      <c r="G905" s="4"/>
      <c r="H905" s="4"/>
    </row>
    <row r="906">
      <c r="A906" s="4"/>
      <c r="B906" s="47"/>
      <c r="C906" s="4"/>
      <c r="D906" s="4"/>
      <c r="E906" s="4"/>
      <c r="F906" s="4"/>
      <c r="G906" s="4"/>
      <c r="H906" s="4"/>
    </row>
    <row r="907">
      <c r="A907" s="4"/>
      <c r="B907" s="47"/>
      <c r="C907" s="4"/>
      <c r="D907" s="4"/>
      <c r="E907" s="4"/>
      <c r="F907" s="4"/>
      <c r="G907" s="4"/>
      <c r="H907" s="4"/>
    </row>
    <row r="908">
      <c r="A908" s="4"/>
      <c r="B908" s="47"/>
      <c r="C908" s="4"/>
      <c r="D908" s="4"/>
      <c r="E908" s="4"/>
      <c r="F908" s="4"/>
      <c r="G908" s="4"/>
      <c r="H908" s="4"/>
    </row>
    <row r="909">
      <c r="A909" s="4"/>
      <c r="B909" s="47"/>
      <c r="C909" s="4"/>
      <c r="D909" s="4"/>
      <c r="E909" s="4"/>
      <c r="F909" s="4"/>
      <c r="G909" s="4"/>
      <c r="H909" s="4"/>
    </row>
    <row r="910">
      <c r="A910" s="4"/>
      <c r="B910" s="47"/>
      <c r="C910" s="4"/>
      <c r="D910" s="4"/>
      <c r="E910" s="4"/>
      <c r="F910" s="4"/>
      <c r="G910" s="4"/>
      <c r="H910" s="4"/>
    </row>
    <row r="911">
      <c r="A911" s="4"/>
      <c r="B911" s="47"/>
      <c r="C911" s="4"/>
      <c r="D911" s="4"/>
      <c r="E911" s="4"/>
      <c r="F911" s="4"/>
      <c r="G911" s="4"/>
      <c r="H911" s="4"/>
    </row>
    <row r="912">
      <c r="A912" s="4"/>
      <c r="B912" s="47"/>
      <c r="C912" s="4"/>
      <c r="D912" s="4"/>
      <c r="E912" s="4"/>
      <c r="F912" s="4"/>
      <c r="G912" s="4"/>
      <c r="H912" s="4"/>
    </row>
    <row r="913">
      <c r="A913" s="4"/>
      <c r="B913" s="47"/>
      <c r="C913" s="4"/>
      <c r="D913" s="4"/>
      <c r="E913" s="4"/>
      <c r="F913" s="4"/>
      <c r="G913" s="4"/>
      <c r="H913" s="4"/>
    </row>
    <row r="914">
      <c r="A914" s="4"/>
      <c r="B914" s="47"/>
      <c r="C914" s="4"/>
      <c r="D914" s="4"/>
      <c r="E914" s="4"/>
      <c r="F914" s="4"/>
      <c r="G914" s="4"/>
      <c r="H914" s="4"/>
    </row>
    <row r="915">
      <c r="A915" s="4"/>
      <c r="B915" s="47"/>
      <c r="C915" s="4"/>
      <c r="D915" s="4"/>
      <c r="E915" s="4"/>
      <c r="F915" s="4"/>
      <c r="G915" s="4"/>
      <c r="H915" s="4"/>
    </row>
    <row r="916">
      <c r="A916" s="4"/>
      <c r="B916" s="47"/>
      <c r="C916" s="4"/>
      <c r="D916" s="4"/>
      <c r="E916" s="4"/>
      <c r="F916" s="4"/>
      <c r="G916" s="4"/>
      <c r="H916" s="4"/>
    </row>
    <row r="917">
      <c r="A917" s="4"/>
      <c r="B917" s="47"/>
      <c r="C917" s="4"/>
      <c r="D917" s="4"/>
      <c r="E917" s="4"/>
      <c r="F917" s="4"/>
      <c r="G917" s="4"/>
      <c r="H917" s="4"/>
    </row>
    <row r="918">
      <c r="A918" s="4"/>
      <c r="B918" s="47"/>
      <c r="C918" s="4"/>
      <c r="D918" s="4"/>
      <c r="E918" s="4"/>
      <c r="F918" s="4"/>
      <c r="G918" s="4"/>
      <c r="H918" s="4"/>
    </row>
    <row r="919">
      <c r="A919" s="4"/>
      <c r="B919" s="47"/>
      <c r="C919" s="4"/>
      <c r="D919" s="4"/>
      <c r="E919" s="4"/>
      <c r="F919" s="4"/>
      <c r="G919" s="4"/>
      <c r="H919" s="4"/>
    </row>
    <row r="920">
      <c r="A920" s="4"/>
      <c r="B920" s="47"/>
      <c r="C920" s="4"/>
      <c r="D920" s="4"/>
      <c r="E920" s="4"/>
      <c r="F920" s="4"/>
      <c r="G920" s="4"/>
      <c r="H920" s="4"/>
    </row>
    <row r="921">
      <c r="A921" s="4"/>
      <c r="B921" s="47"/>
      <c r="C921" s="4"/>
      <c r="D921" s="4"/>
      <c r="E921" s="4"/>
      <c r="F921" s="4"/>
      <c r="G921" s="4"/>
      <c r="H921" s="4"/>
    </row>
    <row r="922">
      <c r="A922" s="4"/>
      <c r="B922" s="47"/>
      <c r="C922" s="4"/>
      <c r="D922" s="4"/>
      <c r="E922" s="4"/>
      <c r="F922" s="4"/>
      <c r="G922" s="4"/>
      <c r="H922" s="4"/>
    </row>
    <row r="923">
      <c r="A923" s="4"/>
      <c r="B923" s="47"/>
      <c r="C923" s="4"/>
      <c r="D923" s="4"/>
      <c r="E923" s="4"/>
      <c r="F923" s="4"/>
      <c r="G923" s="4"/>
      <c r="H923" s="4"/>
    </row>
    <row r="924">
      <c r="A924" s="4"/>
      <c r="B924" s="47"/>
      <c r="C924" s="4"/>
      <c r="D924" s="4"/>
      <c r="E924" s="4"/>
      <c r="F924" s="4"/>
      <c r="G924" s="4"/>
      <c r="H924" s="4"/>
    </row>
    <row r="925">
      <c r="A925" s="4"/>
      <c r="B925" s="47"/>
      <c r="C925" s="4"/>
      <c r="D925" s="4"/>
      <c r="E925" s="4"/>
      <c r="F925" s="4"/>
      <c r="G925" s="4"/>
      <c r="H925" s="4"/>
    </row>
    <row r="926">
      <c r="A926" s="4"/>
      <c r="B926" s="47"/>
      <c r="C926" s="4"/>
      <c r="D926" s="4"/>
      <c r="E926" s="4"/>
      <c r="F926" s="4"/>
      <c r="G926" s="4"/>
      <c r="H926" s="4"/>
    </row>
    <row r="927">
      <c r="A927" s="4"/>
      <c r="B927" s="47"/>
      <c r="C927" s="4"/>
      <c r="D927" s="4"/>
      <c r="E927" s="4"/>
      <c r="F927" s="4"/>
      <c r="G927" s="4"/>
      <c r="H927" s="4"/>
    </row>
    <row r="928">
      <c r="A928" s="4"/>
      <c r="B928" s="47"/>
      <c r="C928" s="4"/>
      <c r="D928" s="4"/>
      <c r="E928" s="4"/>
      <c r="F928" s="4"/>
      <c r="G928" s="4"/>
      <c r="H928" s="4"/>
    </row>
    <row r="929">
      <c r="A929" s="4"/>
      <c r="B929" s="47"/>
      <c r="C929" s="4"/>
      <c r="D929" s="4"/>
      <c r="E929" s="4"/>
      <c r="F929" s="4"/>
      <c r="G929" s="4"/>
      <c r="H929" s="4"/>
    </row>
    <row r="930">
      <c r="A930" s="4"/>
      <c r="B930" s="47"/>
      <c r="C930" s="4"/>
      <c r="D930" s="4"/>
      <c r="E930" s="4"/>
      <c r="F930" s="4"/>
      <c r="G930" s="4"/>
      <c r="H930" s="4"/>
    </row>
    <row r="931">
      <c r="A931" s="4"/>
      <c r="B931" s="47"/>
      <c r="C931" s="4"/>
      <c r="D931" s="4"/>
      <c r="E931" s="4"/>
      <c r="F931" s="4"/>
      <c r="G931" s="4"/>
      <c r="H931" s="4"/>
    </row>
    <row r="932">
      <c r="A932" s="4"/>
      <c r="B932" s="47"/>
      <c r="C932" s="4"/>
      <c r="D932" s="4"/>
      <c r="E932" s="4"/>
      <c r="F932" s="4"/>
      <c r="G932" s="4"/>
      <c r="H932" s="4"/>
    </row>
    <row r="933">
      <c r="A933" s="4"/>
      <c r="B933" s="47"/>
      <c r="C933" s="4"/>
      <c r="D933" s="4"/>
      <c r="E933" s="4"/>
      <c r="F933" s="4"/>
      <c r="G933" s="4"/>
      <c r="H933" s="4"/>
    </row>
    <row r="934">
      <c r="A934" s="4"/>
      <c r="B934" s="47"/>
      <c r="C934" s="4"/>
      <c r="D934" s="4"/>
      <c r="E934" s="4"/>
      <c r="F934" s="4"/>
      <c r="G934" s="4"/>
      <c r="H934" s="4"/>
    </row>
    <row r="935">
      <c r="A935" s="4"/>
      <c r="B935" s="47"/>
      <c r="C935" s="4"/>
      <c r="D935" s="4"/>
      <c r="E935" s="4"/>
      <c r="F935" s="4"/>
      <c r="G935" s="4"/>
      <c r="H935" s="4"/>
    </row>
    <row r="936">
      <c r="A936" s="4"/>
      <c r="B936" s="47"/>
      <c r="C936" s="4"/>
      <c r="D936" s="4"/>
      <c r="E936" s="4"/>
      <c r="F936" s="4"/>
      <c r="G936" s="4"/>
      <c r="H936" s="4"/>
    </row>
    <row r="937">
      <c r="A937" s="4"/>
      <c r="B937" s="47"/>
      <c r="C937" s="4"/>
      <c r="D937" s="4"/>
      <c r="E937" s="4"/>
      <c r="F937" s="4"/>
      <c r="G937" s="4"/>
      <c r="H937" s="4"/>
    </row>
    <row r="938">
      <c r="A938" s="4"/>
      <c r="B938" s="47"/>
      <c r="C938" s="4"/>
      <c r="D938" s="4"/>
      <c r="E938" s="4"/>
      <c r="F938" s="4"/>
      <c r="G938" s="4"/>
      <c r="H938" s="4"/>
    </row>
    <row r="939">
      <c r="A939" s="4"/>
      <c r="B939" s="47"/>
      <c r="C939" s="4"/>
      <c r="D939" s="4"/>
      <c r="E939" s="4"/>
      <c r="F939" s="4"/>
      <c r="G939" s="4"/>
      <c r="H939" s="4"/>
    </row>
    <row r="940">
      <c r="A940" s="184"/>
      <c r="B940" s="185"/>
      <c r="C940" s="184"/>
      <c r="D940" s="184"/>
      <c r="E940" s="184"/>
      <c r="F940" s="184"/>
      <c r="G940" s="184"/>
      <c r="H940" s="184"/>
    </row>
    <row r="941">
      <c r="A941" s="184"/>
      <c r="B941" s="185"/>
      <c r="C941" s="184"/>
      <c r="D941" s="184"/>
      <c r="E941" s="184"/>
      <c r="F941" s="184"/>
      <c r="G941" s="184"/>
      <c r="H941" s="184"/>
    </row>
    <row r="942">
      <c r="A942" s="184"/>
      <c r="B942" s="185"/>
      <c r="C942" s="184"/>
      <c r="D942" s="184"/>
      <c r="E942" s="184"/>
      <c r="F942" s="184"/>
      <c r="G942" s="184"/>
      <c r="H942" s="184"/>
    </row>
    <row r="943">
      <c r="A943" s="184"/>
      <c r="B943" s="185"/>
      <c r="C943" s="184"/>
      <c r="D943" s="184"/>
      <c r="E943" s="184"/>
      <c r="F943" s="184"/>
      <c r="G943" s="184"/>
      <c r="H943" s="184"/>
    </row>
    <row r="944">
      <c r="A944" s="184"/>
      <c r="B944" s="185"/>
      <c r="C944" s="184"/>
      <c r="D944" s="184"/>
      <c r="E944" s="184"/>
      <c r="F944" s="184"/>
      <c r="G944" s="184"/>
      <c r="H944" s="184"/>
    </row>
    <row r="945">
      <c r="A945" s="184"/>
      <c r="B945" s="185"/>
      <c r="C945" s="184"/>
      <c r="D945" s="184"/>
      <c r="E945" s="184"/>
      <c r="F945" s="184"/>
      <c r="G945" s="184"/>
      <c r="H945" s="184"/>
    </row>
    <row r="946">
      <c r="A946" s="184"/>
      <c r="B946" s="185"/>
      <c r="C946" s="184"/>
      <c r="D946" s="184"/>
      <c r="E946" s="184"/>
      <c r="F946" s="184"/>
      <c r="G946" s="184"/>
      <c r="H946" s="184"/>
    </row>
    <row r="947">
      <c r="A947" s="184"/>
      <c r="B947" s="185"/>
      <c r="C947" s="184"/>
      <c r="D947" s="184"/>
      <c r="E947" s="184"/>
      <c r="F947" s="184"/>
      <c r="G947" s="184"/>
      <c r="H947" s="184"/>
    </row>
    <row r="948">
      <c r="A948" s="184"/>
      <c r="B948" s="185"/>
      <c r="C948" s="184"/>
      <c r="D948" s="184"/>
      <c r="E948" s="184"/>
      <c r="F948" s="184"/>
      <c r="G948" s="184"/>
      <c r="H948" s="184"/>
    </row>
    <row r="949">
      <c r="A949" s="184"/>
      <c r="B949" s="185"/>
      <c r="C949" s="184"/>
      <c r="D949" s="184"/>
      <c r="E949" s="184"/>
      <c r="F949" s="184"/>
      <c r="G949" s="184"/>
      <c r="H949" s="184"/>
    </row>
    <row r="950">
      <c r="A950" s="184"/>
      <c r="B950" s="185"/>
      <c r="C950" s="184"/>
      <c r="D950" s="184"/>
      <c r="E950" s="184"/>
      <c r="F950" s="184"/>
      <c r="G950" s="184"/>
      <c r="H950" s="184"/>
    </row>
    <row r="951">
      <c r="A951" s="184"/>
      <c r="B951" s="185"/>
      <c r="C951" s="184"/>
      <c r="D951" s="184"/>
      <c r="E951" s="184"/>
      <c r="F951" s="184"/>
      <c r="G951" s="184"/>
      <c r="H951" s="184"/>
    </row>
    <row r="952">
      <c r="A952" s="184"/>
      <c r="B952" s="185"/>
      <c r="C952" s="184"/>
      <c r="D952" s="184"/>
      <c r="E952" s="184"/>
      <c r="F952" s="184"/>
      <c r="G952" s="184"/>
      <c r="H952" s="184"/>
    </row>
    <row r="953">
      <c r="A953" s="184"/>
      <c r="B953" s="185"/>
      <c r="C953" s="184"/>
      <c r="D953" s="184"/>
      <c r="E953" s="184"/>
      <c r="F953" s="184"/>
      <c r="G953" s="184"/>
      <c r="H953" s="184"/>
    </row>
    <row r="954">
      <c r="A954" s="184"/>
      <c r="B954" s="185"/>
      <c r="C954" s="184"/>
      <c r="D954" s="184"/>
      <c r="E954" s="184"/>
      <c r="F954" s="184"/>
      <c r="G954" s="184"/>
      <c r="H954" s="184"/>
    </row>
    <row r="955">
      <c r="A955" s="184"/>
      <c r="B955" s="185"/>
      <c r="C955" s="184"/>
      <c r="D955" s="184"/>
      <c r="E955" s="184"/>
      <c r="F955" s="184"/>
      <c r="G955" s="184"/>
      <c r="H955" s="184"/>
    </row>
    <row r="956">
      <c r="A956" s="184"/>
      <c r="B956" s="185"/>
      <c r="C956" s="184"/>
      <c r="D956" s="184"/>
      <c r="E956" s="184"/>
      <c r="F956" s="184"/>
      <c r="G956" s="184"/>
      <c r="H956" s="184"/>
    </row>
    <row r="957">
      <c r="A957" s="184"/>
      <c r="B957" s="185"/>
      <c r="C957" s="184"/>
      <c r="D957" s="184"/>
      <c r="E957" s="184"/>
      <c r="F957" s="184"/>
      <c r="G957" s="184"/>
      <c r="H957" s="184"/>
    </row>
    <row r="958">
      <c r="A958" s="184"/>
      <c r="B958" s="185"/>
      <c r="C958" s="184"/>
      <c r="D958" s="184"/>
      <c r="E958" s="184"/>
      <c r="F958" s="184"/>
      <c r="G958" s="184"/>
      <c r="H958" s="184"/>
    </row>
    <row r="959">
      <c r="A959" s="184"/>
      <c r="B959" s="185"/>
      <c r="C959" s="184"/>
      <c r="D959" s="184"/>
      <c r="E959" s="184"/>
      <c r="F959" s="184"/>
      <c r="G959" s="184"/>
      <c r="H959" s="184"/>
    </row>
    <row r="960">
      <c r="A960" s="184"/>
      <c r="B960" s="185"/>
      <c r="C960" s="184"/>
      <c r="D960" s="184"/>
      <c r="E960" s="184"/>
      <c r="F960" s="184"/>
      <c r="G960" s="184"/>
      <c r="H960" s="184"/>
    </row>
    <row r="961">
      <c r="A961" s="184"/>
      <c r="B961" s="185"/>
      <c r="C961" s="184"/>
      <c r="D961" s="184"/>
      <c r="E961" s="184"/>
      <c r="F961" s="184"/>
      <c r="G961" s="184"/>
      <c r="H961" s="184"/>
    </row>
    <row r="962">
      <c r="A962" s="184"/>
      <c r="B962" s="185"/>
      <c r="C962" s="184"/>
      <c r="D962" s="184"/>
      <c r="E962" s="184"/>
      <c r="F962" s="184"/>
      <c r="G962" s="184"/>
      <c r="H962" s="184"/>
    </row>
    <row r="963">
      <c r="A963" s="184"/>
      <c r="B963" s="185"/>
      <c r="C963" s="184"/>
      <c r="D963" s="184"/>
      <c r="E963" s="184"/>
      <c r="F963" s="184"/>
      <c r="G963" s="184"/>
      <c r="H963" s="184"/>
    </row>
    <row r="964">
      <c r="A964" s="184"/>
      <c r="B964" s="185"/>
      <c r="C964" s="184"/>
      <c r="D964" s="184"/>
      <c r="E964" s="184"/>
      <c r="F964" s="184"/>
      <c r="G964" s="184"/>
      <c r="H964" s="184"/>
    </row>
    <row r="965">
      <c r="A965" s="184"/>
      <c r="B965" s="185"/>
      <c r="C965" s="184"/>
      <c r="D965" s="184"/>
      <c r="E965" s="184"/>
      <c r="F965" s="184"/>
      <c r="G965" s="184"/>
      <c r="H965" s="184"/>
    </row>
    <row r="966">
      <c r="A966" s="184"/>
      <c r="B966" s="185"/>
      <c r="C966" s="184"/>
      <c r="D966" s="184"/>
      <c r="E966" s="184"/>
      <c r="F966" s="184"/>
      <c r="G966" s="184"/>
      <c r="H966" s="184"/>
    </row>
    <row r="967">
      <c r="A967" s="184"/>
      <c r="B967" s="185"/>
      <c r="C967" s="184"/>
      <c r="D967" s="184"/>
      <c r="E967" s="184"/>
      <c r="F967" s="184"/>
      <c r="G967" s="184"/>
      <c r="H967" s="184"/>
    </row>
  </sheetData>
  <mergeCells count="15">
    <mergeCell ref="B38:C38"/>
    <mergeCell ref="B40:C40"/>
    <mergeCell ref="B45:C45"/>
    <mergeCell ref="B61:C61"/>
    <mergeCell ref="B74:C74"/>
    <mergeCell ref="B78:C78"/>
    <mergeCell ref="B84:C84"/>
    <mergeCell ref="B98:C98"/>
    <mergeCell ref="B1:C1"/>
    <mergeCell ref="B10:C10"/>
    <mergeCell ref="B24:C24"/>
    <mergeCell ref="B27:C27"/>
    <mergeCell ref="B29:C29"/>
    <mergeCell ref="B33:C33"/>
    <mergeCell ref="B35:C35"/>
  </mergeCells>
  <dataValidations>
    <dataValidation type="list" allowBlank="1" showErrorMessage="1" sqref="D2:D9 F2:F9 D11:D23 F11:F23 D25:D26 F25:F26 D28 F28 D30:D32 F30:F32 D34 F34 D36:D37 F36:F37 D39 F39 D41:D44 F41:F44 D46:D60 F46:F60 D62:D73 F62:F73 D75:D77 F75:F77 D85:D97 F85:F97 D99:D100 F99:F100">
      <formula1>Configuraciones!$G$3:$G$9</formula1>
    </dataValidation>
    <dataValidation type="list" allowBlank="1" showErrorMessage="1" sqref="D79:D83 F79:F83">
      <formula1>Configuraciones!$G$3:$G$11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4.38"/>
    <col customWidth="1" min="3" max="3" width="27.75"/>
    <col customWidth="1" min="4" max="4" width="12.63"/>
    <col customWidth="1" min="5" max="6" width="10.13"/>
    <col customWidth="1" min="7" max="7" width="7.63"/>
    <col customWidth="1" min="8" max="9" width="7.0"/>
  </cols>
  <sheetData>
    <row r="1" ht="24.0" customHeight="1">
      <c r="C1" s="186" t="s">
        <v>311</v>
      </c>
      <c r="G1" s="187"/>
    </row>
    <row r="2" ht="15.75" customHeight="1"/>
    <row r="3" ht="15.75" customHeight="1"/>
    <row r="4" ht="15.75" customHeight="1"/>
    <row r="5" ht="15.75" customHeight="1">
      <c r="A5" s="188"/>
      <c r="B5" s="188"/>
      <c r="C5" s="189" t="s">
        <v>312</v>
      </c>
      <c r="D5" s="190" t="s">
        <v>313</v>
      </c>
      <c r="E5" s="8"/>
      <c r="F5" s="191" t="s">
        <v>314</v>
      </c>
      <c r="G5" s="188"/>
    </row>
    <row r="6" ht="15.75" customHeight="1">
      <c r="A6" s="188"/>
      <c r="B6" s="188"/>
      <c r="C6" s="192" t="s">
        <v>315</v>
      </c>
      <c r="D6" s="193" t="str">
        <f>Configuraciones!B4</f>
        <v>No crítico</v>
      </c>
      <c r="E6" s="193" t="str">
        <f>Configuraciones!B3</f>
        <v>Crítico</v>
      </c>
      <c r="F6" s="194"/>
    </row>
    <row r="7" ht="15.75" customHeight="1">
      <c r="A7" s="188"/>
      <c r="B7" s="188"/>
      <c r="C7" s="195" t="s">
        <v>316</v>
      </c>
      <c r="D7" s="196">
        <f>COUNTIFS('Test Run'!$F:$F,D$6,'Test Run'!$H:$H,$C7)</f>
        <v>0</v>
      </c>
      <c r="E7" s="196">
        <f>COUNTIFS('Test Run'!$F:$F,E$6,'Test Run'!$H:$H,$C7)</f>
        <v>0</v>
      </c>
      <c r="F7" s="193">
        <f t="shared" ref="F7:F12" si="1">SUM(D7:E7)</f>
        <v>0</v>
      </c>
    </row>
    <row r="8" ht="15.75" customHeight="1">
      <c r="A8" s="188"/>
      <c r="B8" s="188"/>
      <c r="C8" s="195" t="s">
        <v>317</v>
      </c>
      <c r="D8" s="196">
        <f>COUNTIFS('Test Run'!$F:$F,D$6,'Test Run'!$H:$H,$C8)</f>
        <v>0</v>
      </c>
      <c r="E8" s="196">
        <f>COUNTIFS('Test Run'!$F:$F,E$6,'Test Run'!$H:$H,$C8)</f>
        <v>0</v>
      </c>
      <c r="F8" s="193">
        <f t="shared" si="1"/>
        <v>0</v>
      </c>
    </row>
    <row r="9" ht="15.75" customHeight="1">
      <c r="A9" s="188"/>
      <c r="B9" s="188"/>
      <c r="C9" s="197" t="s">
        <v>318</v>
      </c>
      <c r="D9" s="196">
        <f>COUNTIFS('Test Run'!$F:$F,D$6,'Test Run'!$H:$H,$C9)</f>
        <v>0</v>
      </c>
      <c r="E9" s="196">
        <f>COUNTIFS('Test Run'!$F:$F,E$6,'Test Run'!$H:$H,$C9)</f>
        <v>0</v>
      </c>
      <c r="F9" s="193">
        <f t="shared" si="1"/>
        <v>0</v>
      </c>
      <c r="G9" s="188"/>
    </row>
    <row r="10" ht="15.75" customHeight="1">
      <c r="A10" s="188"/>
      <c r="B10" s="188"/>
      <c r="C10" s="198" t="s">
        <v>319</v>
      </c>
      <c r="D10" s="196">
        <f>COUNTIFS('Test Run'!$F:$F,D$6,'Test Run'!$H:$H,$C10)</f>
        <v>0</v>
      </c>
      <c r="E10" s="196">
        <f>COUNTIFS('Test Run'!$F:$F,E$6,'Test Run'!$H:$H,$C10)</f>
        <v>0</v>
      </c>
      <c r="F10" s="193">
        <f t="shared" si="1"/>
        <v>0</v>
      </c>
    </row>
    <row r="11" ht="15.75" customHeight="1">
      <c r="A11" s="188"/>
      <c r="B11" s="188"/>
      <c r="C11" s="198" t="s">
        <v>320</v>
      </c>
      <c r="D11" s="196">
        <f>COUNTIFS('Test Run'!$F:$F,D$6,'Test Run'!$H:$H,$C11)</f>
        <v>0</v>
      </c>
      <c r="E11" s="196">
        <f>COUNTIFS('Test Run'!$F:$F,E$6,'Test Run'!$H:$H,$C11)</f>
        <v>0</v>
      </c>
      <c r="F11" s="193">
        <f t="shared" si="1"/>
        <v>0</v>
      </c>
    </row>
    <row r="12" ht="15.75" customHeight="1">
      <c r="A12" s="188"/>
      <c r="B12" s="188"/>
      <c r="C12" s="198" t="s">
        <v>321</v>
      </c>
      <c r="D12" s="196">
        <f>COUNTIFS('Test Run'!$F:$F,D$6,'Test Run'!$H:$H,$C12)</f>
        <v>0</v>
      </c>
      <c r="E12" s="196">
        <f>COUNTIFS('Test Run'!$F:$F,E$6,'Test Run'!$H:$H,$C12)</f>
        <v>0</v>
      </c>
      <c r="F12" s="193">
        <f t="shared" si="1"/>
        <v>0</v>
      </c>
    </row>
    <row r="13" ht="15.75" customHeight="1">
      <c r="A13" s="188"/>
      <c r="B13" s="188"/>
      <c r="C13" s="192" t="s">
        <v>314</v>
      </c>
      <c r="D13" s="193">
        <f t="shared" ref="D13:E13" si="2">SUM(D7:D11)</f>
        <v>0</v>
      </c>
      <c r="E13" s="193">
        <f t="shared" si="2"/>
        <v>0</v>
      </c>
      <c r="F13" s="199">
        <f>SUM(F7:F12)</f>
        <v>0</v>
      </c>
    </row>
    <row r="14" ht="15.75" customHeight="1">
      <c r="A14" s="188"/>
      <c r="B14" s="188"/>
      <c r="C14" s="188" t="str">
        <f>Configuraciones!E17</f>
        <v/>
      </c>
      <c r="D14" s="188"/>
      <c r="E14" s="188"/>
      <c r="F14" s="188"/>
      <c r="G14" s="188"/>
    </row>
    <row r="15">
      <c r="A15" s="188"/>
      <c r="B15" s="188"/>
      <c r="D15" s="200"/>
      <c r="E15" s="200"/>
      <c r="F15" s="188"/>
      <c r="G15" s="188"/>
    </row>
    <row r="16" ht="15.75" customHeight="1">
      <c r="A16" s="188"/>
      <c r="B16" s="188"/>
      <c r="C16" s="27"/>
      <c r="D16" s="201"/>
      <c r="E16" s="201"/>
      <c r="F16" s="188"/>
      <c r="G16" s="188"/>
    </row>
    <row r="17" ht="15.75" customHeight="1">
      <c r="A17" s="188"/>
      <c r="B17" s="188"/>
      <c r="C17" s="188"/>
      <c r="D17" s="188"/>
      <c r="E17" s="188"/>
      <c r="F17" s="188"/>
      <c r="G17" s="188"/>
    </row>
    <row r="18" ht="15.75" customHeight="1">
      <c r="A18" s="188"/>
      <c r="B18" s="188"/>
      <c r="C18" s="202"/>
      <c r="D18" s="188"/>
      <c r="E18" s="188"/>
      <c r="F18" s="188"/>
      <c r="G18" s="188"/>
    </row>
    <row r="19" ht="15.75" customHeight="1"/>
    <row r="20" ht="47.25" customHeight="1">
      <c r="A20" s="203"/>
    </row>
    <row r="21" ht="51.0" customHeight="1">
      <c r="B21" s="204"/>
      <c r="C21" s="205"/>
      <c r="E21" s="206"/>
    </row>
    <row r="22" ht="32.25" customHeight="1">
      <c r="C22" s="207"/>
    </row>
    <row r="23" ht="32.25" customHeight="1">
      <c r="C23" s="207"/>
    </row>
    <row r="24" ht="32.25" customHeight="1">
      <c r="C24" s="207"/>
    </row>
    <row r="25" ht="32.25" customHeight="1">
      <c r="C25" s="207"/>
    </row>
    <row r="26" ht="32.25" customHeight="1">
      <c r="C26" s="207" t="s">
        <v>322</v>
      </c>
    </row>
    <row r="27" ht="15.75" customHeight="1"/>
    <row r="28">
      <c r="C28" s="208" t="s">
        <v>323</v>
      </c>
      <c r="D28" s="209" t="s">
        <v>324</v>
      </c>
      <c r="E28" s="208" t="s">
        <v>325</v>
      </c>
      <c r="F28" s="208" t="s">
        <v>326</v>
      </c>
      <c r="G28" s="208"/>
      <c r="H28" s="208"/>
      <c r="I28" s="208"/>
      <c r="J28" s="208"/>
      <c r="K28" s="208"/>
      <c r="L28" s="208"/>
      <c r="M28" s="208"/>
      <c r="N28" s="208"/>
      <c r="O28" s="208"/>
      <c r="P28" s="208" t="s">
        <v>327</v>
      </c>
    </row>
    <row r="29" ht="15.75" customHeight="1">
      <c r="C29" s="210" t="str">
        <f>Configuraciones!F7</f>
        <v>No procede</v>
      </c>
      <c r="D29" s="211">
        <f>COUNTIFS('Test Run'!$M:$M,$C29,'Test Run'!$O:$O,D$28)</f>
        <v>0</v>
      </c>
      <c r="E29" s="211">
        <f>COUNTIFS('Test Run'!$M:$M,$C29,'Test Run'!$O:$O,E$28)</f>
        <v>0</v>
      </c>
      <c r="F29" s="211">
        <f>COUNTIFS('Test Run'!$M:$M,$C29,'Test Run'!$O:$O,F$28)</f>
        <v>0</v>
      </c>
      <c r="G29" s="211"/>
      <c r="H29" s="211"/>
      <c r="I29" s="211"/>
      <c r="J29" s="211"/>
      <c r="K29" s="211"/>
      <c r="L29" s="211"/>
      <c r="M29" s="211"/>
      <c r="N29" s="211"/>
      <c r="O29" s="211"/>
      <c r="P29" s="212">
        <f>COUNTIFS('Test Run'!$M:$M,C29)</f>
        <v>0</v>
      </c>
    </row>
    <row r="30" ht="15.75" customHeight="1">
      <c r="C30" s="213" t="str">
        <f>Configuraciones!F8</f>
        <v>Postergado</v>
      </c>
      <c r="D30" s="211">
        <f>COUNTIFS('Test Run'!$M:$M,$C30,'Test Run'!$O:$O,D$28)</f>
        <v>0</v>
      </c>
      <c r="E30" s="211">
        <f>COUNTIFS('Test Run'!$M:$M,$C30,'Test Run'!$O:$O,E$28)</f>
        <v>0</v>
      </c>
      <c r="F30" s="211">
        <f>COUNTIFS('Test Run'!$M:$M,$C30,'Test Run'!$O:$O,F$28)</f>
        <v>0</v>
      </c>
      <c r="G30" s="211"/>
      <c r="H30" s="211"/>
      <c r="I30" s="211"/>
      <c r="J30" s="211"/>
      <c r="K30" s="211"/>
      <c r="L30" s="211"/>
      <c r="M30" s="211"/>
      <c r="N30" s="211"/>
      <c r="O30" s="211"/>
      <c r="P30" s="212">
        <f>COUNTIFS('Test Run'!$M:$M,C30)</f>
        <v>0</v>
      </c>
    </row>
    <row r="31" ht="15.75" customHeight="1">
      <c r="C31" s="214" t="str">
        <f>Configuraciones!F6</f>
        <v>Corregido</v>
      </c>
      <c r="D31" s="211">
        <f>COUNTIFS('Test Run'!$M:$M,$C31,'Test Run'!$O:$O,D$28)</f>
        <v>0</v>
      </c>
      <c r="E31" s="211">
        <f>COUNTIFS('Test Run'!$M:$M,$C31,'Test Run'!$O:$O,E$28)</f>
        <v>0</v>
      </c>
      <c r="F31" s="211">
        <f>COUNTIFS('Test Run'!$M:$M,$C31,'Test Run'!$O:$O,F$28)</f>
        <v>0</v>
      </c>
      <c r="G31" s="211"/>
      <c r="H31" s="211"/>
      <c r="I31" s="211"/>
      <c r="J31" s="211"/>
      <c r="K31" s="211"/>
      <c r="L31" s="211"/>
      <c r="M31" s="211"/>
      <c r="N31" s="211"/>
      <c r="O31" s="211"/>
      <c r="P31" s="212">
        <f>COUNTIFS('Test Run'!$M:$M,C31)</f>
        <v>0</v>
      </c>
    </row>
    <row r="32" ht="15.75" customHeight="1">
      <c r="C32" s="215" t="str">
        <f>Configuraciones!F5</f>
        <v>Corregido sin Subir</v>
      </c>
      <c r="D32" s="211">
        <f>COUNTIFS('Test Run'!$M:$M,$C32,'Test Run'!$O:$O,D$28)</f>
        <v>0</v>
      </c>
      <c r="E32" s="211">
        <f>COUNTIFS('Test Run'!$M:$M,$C32,'Test Run'!$O:$O,E$28)</f>
        <v>0</v>
      </c>
      <c r="F32" s="211">
        <f>COUNTIFS('Test Run'!$M:$M,$C32,'Test Run'!$O:$O,F$28)</f>
        <v>0</v>
      </c>
      <c r="G32" s="211"/>
      <c r="H32" s="211"/>
      <c r="I32" s="211"/>
      <c r="J32" s="211"/>
      <c r="K32" s="211"/>
      <c r="L32" s="211"/>
      <c r="M32" s="211"/>
      <c r="N32" s="211"/>
      <c r="O32" s="211"/>
      <c r="P32" s="212">
        <f>COUNTIFS('Test Run'!$M:$M,C32)</f>
        <v>0</v>
      </c>
    </row>
    <row r="33" ht="15.75" customHeight="1">
      <c r="C33" s="216" t="str">
        <f>Configuraciones!F9</f>
        <v>Rechazado por QA</v>
      </c>
      <c r="D33" s="211">
        <f>COUNTIFS('Test Run'!$M:$M,$C33,'Test Run'!$O:$O,D$28)</f>
        <v>0</v>
      </c>
      <c r="E33" s="211">
        <f>COUNTIFS('Test Run'!$M:$M,$C33,'Test Run'!$O:$O,E$28)</f>
        <v>0</v>
      </c>
      <c r="F33" s="211">
        <f>COUNTIFS('Test Run'!$M:$M,$C33,'Test Run'!$O:$O,F$28)</f>
        <v>0</v>
      </c>
      <c r="G33" s="211"/>
      <c r="H33" s="211"/>
      <c r="I33" s="211"/>
      <c r="J33" s="211"/>
      <c r="K33" s="211"/>
      <c r="L33" s="211"/>
      <c r="M33" s="211"/>
      <c r="N33" s="211"/>
      <c r="O33" s="211"/>
      <c r="P33" s="212">
        <f>COUNTIFS('Test Run'!$M:$M,C33)</f>
        <v>0</v>
      </c>
    </row>
    <row r="34" ht="15.75" customHeight="1">
      <c r="C34" s="217" t="str">
        <f>Configuraciones!F4</f>
        <v>En Curso</v>
      </c>
      <c r="D34" s="211">
        <f>COUNTIFS('Test Run'!$M:$M,$C34,'Test Run'!$O:$O,D$28)</f>
        <v>0</v>
      </c>
      <c r="E34" s="211">
        <f>COUNTIFS('Test Run'!$M:$M,$C34,'Test Run'!$O:$O,E$28)</f>
        <v>0</v>
      </c>
      <c r="F34" s="211">
        <f>COUNTIFS('Test Run'!$M:$M,$C34,'Test Run'!$O:$O,F$28)</f>
        <v>0</v>
      </c>
      <c r="G34" s="211"/>
      <c r="H34" s="211"/>
      <c r="I34" s="211"/>
      <c r="J34" s="211"/>
      <c r="K34" s="211"/>
      <c r="L34" s="211"/>
      <c r="M34" s="211"/>
      <c r="N34" s="211"/>
      <c r="O34" s="211"/>
      <c r="P34" s="212">
        <f>COUNTIFS('Test Run'!$M:$M,C34)</f>
        <v>0</v>
      </c>
    </row>
    <row r="35" ht="15.75" customHeight="1">
      <c r="C35" s="218" t="str">
        <f>Configuraciones!F3</f>
        <v>Pendiente</v>
      </c>
      <c r="D35" s="211">
        <f>COUNTIFS('Test Run'!$M:$M,$C35,'Test Run'!$O:$O,D$28)</f>
        <v>0</v>
      </c>
      <c r="E35" s="211">
        <f>COUNTIFS('Test Run'!$M:$M,$C35,'Test Run'!$O:$O,E$28)</f>
        <v>0</v>
      </c>
      <c r="F35" s="211">
        <f>COUNTIFS('Test Run'!$M:$M,$C35,'Test Run'!$O:$O,F$28)</f>
        <v>0</v>
      </c>
      <c r="G35" s="211"/>
      <c r="H35" s="211"/>
      <c r="I35" s="211"/>
      <c r="J35" s="211"/>
      <c r="K35" s="211"/>
      <c r="L35" s="211"/>
      <c r="M35" s="211"/>
      <c r="N35" s="211"/>
      <c r="O35" s="211"/>
      <c r="P35" s="212">
        <f>COUNTIFS('Test Run'!$M:$M,C35)</f>
        <v>0</v>
      </c>
    </row>
    <row r="36" ht="15.75" customHeight="1">
      <c r="A36" s="219"/>
      <c r="B36" s="219"/>
      <c r="C36" s="220" t="s">
        <v>328</v>
      </c>
      <c r="D36" s="221">
        <f t="shared" ref="D36:F36" si="3">SUM(D31:D35)</f>
        <v>0</v>
      </c>
      <c r="E36" s="221">
        <f t="shared" si="3"/>
        <v>0</v>
      </c>
      <c r="F36" s="221">
        <f t="shared" si="3"/>
        <v>0</v>
      </c>
      <c r="G36" s="221"/>
      <c r="H36" s="221"/>
      <c r="I36" s="221"/>
      <c r="J36" s="221"/>
      <c r="K36" s="221"/>
      <c r="L36" s="221"/>
      <c r="M36" s="221"/>
      <c r="N36" s="221"/>
      <c r="O36" s="221"/>
      <c r="P36" s="221">
        <f>SUM(P31:P35)</f>
        <v>0</v>
      </c>
      <c r="Q36" s="219"/>
      <c r="R36" s="219"/>
      <c r="S36" s="219"/>
    </row>
    <row r="37" ht="15.75" customHeight="1"/>
    <row r="38" ht="15.75" customHeight="1">
      <c r="K38" s="197" t="s">
        <v>325</v>
      </c>
    </row>
    <row r="39" ht="15.75" customHeight="1">
      <c r="K39" s="197" t="s">
        <v>329</v>
      </c>
    </row>
    <row r="40" ht="15.75" customHeight="1">
      <c r="K40" s="197" t="s">
        <v>330</v>
      </c>
    </row>
    <row r="41" ht="15.75" customHeight="1">
      <c r="K41" s="197" t="s">
        <v>331</v>
      </c>
    </row>
    <row r="42" ht="15.75" customHeight="1">
      <c r="K42" s="222" t="s">
        <v>332</v>
      </c>
    </row>
    <row r="43" ht="15.75" customHeight="1">
      <c r="K43" s="222" t="s">
        <v>333</v>
      </c>
    </row>
    <row r="44" ht="15.75" customHeight="1">
      <c r="D44" s="222" t="str">
        <f>IF(COUNTIFS('Test Run'!$M:$M,$C31,'Test Run'!$O:$O,D$28)=0,"  ",COUNTIFS('Test Run'!$M:$M,$C31,'Test Run'!$O:$O,D$28))</f>
        <v>  </v>
      </c>
      <c r="K44" s="222" t="s">
        <v>334</v>
      </c>
    </row>
    <row r="45" ht="15.75" customHeight="1">
      <c r="D45" s="223">
        <f>SUM(F7:F9)</f>
        <v>0</v>
      </c>
      <c r="K45" s="222" t="s">
        <v>335</v>
      </c>
    </row>
    <row r="46" ht="39.75" customHeight="1">
      <c r="C46" s="224" t="s">
        <v>336</v>
      </c>
      <c r="D46" s="225">
        <f>SUM(P32:P35)</f>
        <v>0</v>
      </c>
      <c r="E46" s="226" t="s">
        <v>337</v>
      </c>
      <c r="K46" s="197" t="s">
        <v>338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28.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>
      <c r="C124" s="227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>
      <c r="B131" s="188"/>
      <c r="G131" s="188"/>
    </row>
    <row r="132" ht="15.75" customHeight="1">
      <c r="B132" s="188"/>
    </row>
    <row r="133" ht="15.75" customHeight="1">
      <c r="B133" s="188"/>
    </row>
    <row r="134" ht="15.75" customHeight="1">
      <c r="B134" s="188"/>
    </row>
    <row r="135" ht="15.75" customHeight="1">
      <c r="B135" s="188"/>
    </row>
    <row r="136" ht="15.75" customHeight="1">
      <c r="B136" s="188"/>
      <c r="G136" s="188"/>
    </row>
    <row r="137" ht="15.75" customHeight="1">
      <c r="B137" s="188"/>
    </row>
    <row r="138" ht="15.75" customHeight="1">
      <c r="B138" s="188"/>
    </row>
    <row r="139" ht="15.75" customHeight="1">
      <c r="B139" s="188"/>
    </row>
    <row r="140" ht="15.75" customHeight="1">
      <c r="B140" s="188"/>
      <c r="G140" s="188"/>
    </row>
    <row r="141" ht="15.75" customHeight="1">
      <c r="B141" s="188"/>
      <c r="G141" s="188"/>
    </row>
    <row r="142" ht="15.75" customHeight="1">
      <c r="B142" s="188"/>
      <c r="G142" s="188"/>
    </row>
    <row r="143" ht="15.75" customHeight="1"/>
    <row r="144" ht="15.75" customHeight="1">
      <c r="D144" s="228"/>
    </row>
    <row r="145" ht="15.75" customHeight="1"/>
    <row r="146" ht="15.75" customHeight="1"/>
    <row r="147" ht="15.75" customHeight="1"/>
    <row r="148" ht="15.75" customHeight="1"/>
    <row r="149" ht="15.75" customHeight="1"/>
    <row r="150" ht="41.2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</sheetData>
  <mergeCells count="2">
    <mergeCell ref="D5:E5"/>
    <mergeCell ref="F5:F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6.75"/>
    <col customWidth="1" min="3" max="3" width="67.5"/>
    <col customWidth="1" min="4" max="4" width="23.25"/>
    <col customWidth="1" min="6" max="6" width="23.25"/>
    <col customWidth="1" min="8" max="8" width="50.25"/>
  </cols>
  <sheetData>
    <row r="1" ht="38.25" customHeight="1">
      <c r="A1" s="229"/>
      <c r="B1" s="165" t="s">
        <v>339</v>
      </c>
      <c r="D1" s="166" t="s">
        <v>129</v>
      </c>
      <c r="E1" s="166" t="s">
        <v>130</v>
      </c>
      <c r="F1" s="166" t="s">
        <v>129</v>
      </c>
      <c r="G1" s="166" t="s">
        <v>131</v>
      </c>
      <c r="H1" s="166" t="s">
        <v>340</v>
      </c>
    </row>
    <row r="2">
      <c r="A2" s="171"/>
      <c r="B2" s="230" t="s">
        <v>341</v>
      </c>
      <c r="C2" s="231" t="s">
        <v>342</v>
      </c>
      <c r="D2" s="169"/>
      <c r="E2" s="232" t="b">
        <v>0</v>
      </c>
      <c r="F2" s="169"/>
      <c r="G2" s="232" t="b">
        <v>0</v>
      </c>
      <c r="H2" s="233"/>
    </row>
    <row r="3">
      <c r="A3" s="171"/>
      <c r="B3" s="230" t="s">
        <v>343</v>
      </c>
      <c r="C3" s="231" t="s">
        <v>344</v>
      </c>
      <c r="D3" s="169"/>
      <c r="E3" s="232" t="b">
        <v>0</v>
      </c>
      <c r="F3" s="169"/>
      <c r="G3" s="232" t="b">
        <v>0</v>
      </c>
      <c r="H3" s="233"/>
    </row>
    <row r="4">
      <c r="A4" s="171"/>
      <c r="B4" s="230" t="s">
        <v>345</v>
      </c>
      <c r="C4" s="231" t="s">
        <v>346</v>
      </c>
      <c r="D4" s="169"/>
      <c r="E4" s="232" t="b">
        <v>0</v>
      </c>
      <c r="F4" s="169"/>
      <c r="G4" s="232" t="b">
        <v>0</v>
      </c>
      <c r="H4" s="233"/>
    </row>
    <row r="5">
      <c r="A5" s="171"/>
      <c r="B5" s="230" t="s">
        <v>347</v>
      </c>
      <c r="C5" s="231" t="s">
        <v>348</v>
      </c>
      <c r="D5" s="169"/>
      <c r="E5" s="232" t="b">
        <v>0</v>
      </c>
      <c r="F5" s="169"/>
      <c r="G5" s="232" t="b">
        <v>0</v>
      </c>
      <c r="H5" s="233"/>
    </row>
    <row r="6">
      <c r="A6" s="171"/>
      <c r="B6" s="230" t="s">
        <v>349</v>
      </c>
      <c r="C6" s="231" t="s">
        <v>350</v>
      </c>
      <c r="D6" s="169"/>
      <c r="E6" s="232" t="b">
        <v>0</v>
      </c>
      <c r="F6" s="169"/>
      <c r="G6" s="232" t="b">
        <v>0</v>
      </c>
      <c r="H6" s="233"/>
    </row>
    <row r="7">
      <c r="A7" s="168"/>
      <c r="B7" s="234" t="s">
        <v>351</v>
      </c>
      <c r="C7" s="231" t="s">
        <v>352</v>
      </c>
      <c r="D7" s="169"/>
      <c r="E7" s="232" t="b">
        <v>0</v>
      </c>
      <c r="F7" s="169"/>
      <c r="G7" s="232" t="b">
        <v>0</v>
      </c>
      <c r="H7" s="233"/>
    </row>
    <row r="8">
      <c r="A8" s="168"/>
      <c r="B8" s="234" t="s">
        <v>353</v>
      </c>
      <c r="C8" s="231" t="s">
        <v>354</v>
      </c>
      <c r="D8" s="169"/>
      <c r="E8" s="232" t="b">
        <v>0</v>
      </c>
      <c r="F8" s="169"/>
      <c r="G8" s="232" t="b">
        <v>0</v>
      </c>
      <c r="H8" s="233"/>
    </row>
    <row r="9">
      <c r="A9" s="171"/>
      <c r="B9" s="230" t="s">
        <v>355</v>
      </c>
      <c r="C9" s="231" t="s">
        <v>356</v>
      </c>
      <c r="D9" s="169"/>
      <c r="E9" s="232" t="b">
        <v>0</v>
      </c>
      <c r="F9" s="169"/>
      <c r="G9" s="232" t="b">
        <v>0</v>
      </c>
      <c r="H9" s="233"/>
    </row>
    <row r="10">
      <c r="A10" s="171"/>
      <c r="B10" s="230" t="s">
        <v>357</v>
      </c>
      <c r="C10" s="231" t="s">
        <v>356</v>
      </c>
      <c r="D10" s="169"/>
      <c r="E10" s="232" t="b">
        <v>0</v>
      </c>
      <c r="F10" s="169"/>
      <c r="G10" s="232" t="b">
        <v>0</v>
      </c>
      <c r="H10" s="233"/>
    </row>
    <row r="11">
      <c r="A11" s="171"/>
      <c r="B11" s="230" t="s">
        <v>358</v>
      </c>
      <c r="C11" s="231" t="s">
        <v>359</v>
      </c>
      <c r="D11" s="169"/>
      <c r="E11" s="232" t="b">
        <v>0</v>
      </c>
      <c r="F11" s="169"/>
      <c r="G11" s="232" t="b">
        <v>0</v>
      </c>
      <c r="H11" s="233"/>
    </row>
    <row r="12">
      <c r="A12" s="171"/>
      <c r="B12" s="230" t="s">
        <v>360</v>
      </c>
      <c r="C12" s="231" t="s">
        <v>361</v>
      </c>
      <c r="D12" s="169"/>
      <c r="E12" s="232" t="b">
        <v>0</v>
      </c>
      <c r="F12" s="169"/>
      <c r="G12" s="232" t="b">
        <v>0</v>
      </c>
      <c r="H12" s="233"/>
    </row>
    <row r="13">
      <c r="A13" s="168"/>
      <c r="B13" s="234" t="s">
        <v>362</v>
      </c>
      <c r="C13" s="231" t="s">
        <v>363</v>
      </c>
      <c r="D13" s="169"/>
      <c r="E13" s="232" t="b">
        <v>0</v>
      </c>
      <c r="F13" s="169"/>
      <c r="G13" s="232" t="b">
        <v>0</v>
      </c>
      <c r="H13" s="233"/>
    </row>
    <row r="14">
      <c r="A14" s="171"/>
      <c r="B14" s="230" t="s">
        <v>364</v>
      </c>
      <c r="C14" s="231" t="s">
        <v>365</v>
      </c>
      <c r="D14" s="169"/>
      <c r="E14" s="232" t="b">
        <v>0</v>
      </c>
      <c r="F14" s="169"/>
      <c r="G14" s="232" t="b">
        <v>0</v>
      </c>
      <c r="H14" s="233"/>
    </row>
    <row r="15">
      <c r="A15" s="171"/>
      <c r="B15" s="230" t="s">
        <v>366</v>
      </c>
      <c r="C15" s="231" t="s">
        <v>367</v>
      </c>
      <c r="D15" s="169"/>
      <c r="E15" s="232" t="b">
        <v>0</v>
      </c>
      <c r="F15" s="169"/>
      <c r="G15" s="232" t="b">
        <v>0</v>
      </c>
      <c r="H15" s="233"/>
    </row>
    <row r="16">
      <c r="A16" s="235"/>
      <c r="B16" s="236" t="s">
        <v>368</v>
      </c>
      <c r="C16" s="231" t="s">
        <v>367</v>
      </c>
      <c r="D16" s="169"/>
      <c r="E16" s="232" t="b">
        <v>0</v>
      </c>
      <c r="F16" s="169"/>
      <c r="G16" s="232" t="b">
        <v>0</v>
      </c>
      <c r="H16" s="233"/>
    </row>
    <row r="17">
      <c r="A17" s="171"/>
      <c r="B17" s="230" t="s">
        <v>369</v>
      </c>
      <c r="C17" s="231" t="s">
        <v>370</v>
      </c>
      <c r="D17" s="169"/>
      <c r="E17" s="232" t="b">
        <v>0</v>
      </c>
      <c r="F17" s="169"/>
      <c r="G17" s="232" t="b">
        <v>0</v>
      </c>
      <c r="H17" s="233"/>
    </row>
    <row r="18">
      <c r="A18" s="171"/>
      <c r="B18" s="171" t="s">
        <v>371</v>
      </c>
      <c r="C18" s="237" t="s">
        <v>372</v>
      </c>
      <c r="D18" s="169"/>
      <c r="E18" s="232" t="b">
        <v>0</v>
      </c>
      <c r="F18" s="169"/>
      <c r="G18" s="232" t="b">
        <v>0</v>
      </c>
      <c r="H18" s="233"/>
    </row>
    <row r="19">
      <c r="A19" s="171"/>
      <c r="B19" s="230" t="s">
        <v>373</v>
      </c>
      <c r="C19" s="231"/>
      <c r="D19" s="169"/>
      <c r="E19" s="232" t="b">
        <v>0</v>
      </c>
      <c r="F19" s="169"/>
      <c r="G19" s="232" t="b">
        <v>0</v>
      </c>
      <c r="H19" s="233"/>
    </row>
    <row r="20">
      <c r="A20" s="171"/>
      <c r="B20" s="230" t="s">
        <v>374</v>
      </c>
      <c r="C20" s="231"/>
      <c r="D20" s="169"/>
      <c r="E20" s="232" t="b">
        <v>0</v>
      </c>
      <c r="F20" s="169"/>
      <c r="G20" s="232" t="b">
        <v>0</v>
      </c>
      <c r="H20" s="233"/>
    </row>
    <row r="21">
      <c r="A21" s="171"/>
      <c r="B21" s="230" t="s">
        <v>375</v>
      </c>
      <c r="C21" s="231" t="s">
        <v>376</v>
      </c>
      <c r="D21" s="169"/>
      <c r="E21" s="232" t="b">
        <v>0</v>
      </c>
      <c r="F21" s="169"/>
      <c r="G21" s="232" t="b">
        <v>0</v>
      </c>
      <c r="H21" s="233"/>
    </row>
    <row r="22">
      <c r="A22" s="171"/>
      <c r="B22" s="230" t="s">
        <v>377</v>
      </c>
      <c r="C22" s="231" t="s">
        <v>363</v>
      </c>
      <c r="D22" s="169"/>
      <c r="E22" s="232" t="b">
        <v>0</v>
      </c>
      <c r="F22" s="169"/>
      <c r="G22" s="232" t="b">
        <v>0</v>
      </c>
      <c r="H22" s="233"/>
    </row>
    <row r="23">
      <c r="A23" s="171"/>
      <c r="B23" s="230" t="s">
        <v>378</v>
      </c>
      <c r="C23" s="231" t="s">
        <v>379</v>
      </c>
      <c r="D23" s="169"/>
      <c r="E23" s="232" t="b">
        <v>0</v>
      </c>
      <c r="F23" s="169"/>
      <c r="G23" s="232" t="b">
        <v>0</v>
      </c>
      <c r="H23" s="233"/>
    </row>
    <row r="24">
      <c r="A24" s="171"/>
      <c r="B24" s="230" t="s">
        <v>380</v>
      </c>
      <c r="C24" s="231" t="s">
        <v>381</v>
      </c>
      <c r="D24" s="169"/>
      <c r="E24" s="232" t="b">
        <v>0</v>
      </c>
      <c r="F24" s="169"/>
      <c r="G24" s="232" t="b">
        <v>0</v>
      </c>
      <c r="H24" s="233"/>
    </row>
    <row r="25">
      <c r="A25" s="171"/>
      <c r="B25" s="230" t="s">
        <v>382</v>
      </c>
      <c r="C25" s="231" t="s">
        <v>383</v>
      </c>
      <c r="D25" s="169"/>
      <c r="E25" s="232" t="b">
        <v>0</v>
      </c>
      <c r="F25" s="169"/>
      <c r="G25" s="232" t="b">
        <v>0</v>
      </c>
      <c r="H25" s="233"/>
    </row>
    <row r="26">
      <c r="A26" s="171"/>
      <c r="B26" s="171" t="s">
        <v>384</v>
      </c>
      <c r="C26" s="237" t="s">
        <v>385</v>
      </c>
      <c r="D26" s="169"/>
      <c r="E26" s="232" t="b">
        <v>0</v>
      </c>
      <c r="F26" s="169"/>
      <c r="G26" s="232" t="b">
        <v>0</v>
      </c>
      <c r="H26" s="233"/>
    </row>
    <row r="27">
      <c r="A27" s="235"/>
      <c r="B27" s="236" t="s">
        <v>386</v>
      </c>
      <c r="C27" s="231" t="s">
        <v>387</v>
      </c>
      <c r="D27" s="169"/>
      <c r="E27" s="232" t="b">
        <v>0</v>
      </c>
      <c r="F27" s="169"/>
      <c r="G27" s="232" t="b">
        <v>0</v>
      </c>
      <c r="H27" s="233"/>
    </row>
    <row r="28">
      <c r="A28" s="171"/>
      <c r="B28" s="171" t="s">
        <v>388</v>
      </c>
      <c r="C28" s="237" t="s">
        <v>389</v>
      </c>
      <c r="D28" s="169"/>
      <c r="E28" s="232" t="b">
        <v>0</v>
      </c>
      <c r="F28" s="169"/>
      <c r="G28" s="232" t="b">
        <v>0</v>
      </c>
      <c r="H28" s="233"/>
    </row>
    <row r="29">
      <c r="A29" s="171"/>
      <c r="B29" s="171" t="s">
        <v>390</v>
      </c>
      <c r="C29" s="237" t="s">
        <v>389</v>
      </c>
      <c r="D29" s="169"/>
      <c r="E29" s="232" t="b">
        <v>0</v>
      </c>
      <c r="F29" s="169"/>
      <c r="G29" s="232" t="b">
        <v>0</v>
      </c>
      <c r="H29" s="233"/>
    </row>
    <row r="30">
      <c r="A30" s="171"/>
      <c r="B30" s="171" t="s">
        <v>391</v>
      </c>
      <c r="C30" s="238"/>
      <c r="D30" s="169"/>
      <c r="E30" s="232" t="b">
        <v>0</v>
      </c>
      <c r="F30" s="169"/>
      <c r="G30" s="232" t="b">
        <v>0</v>
      </c>
      <c r="H30" s="233"/>
    </row>
    <row r="31">
      <c r="A31" s="171"/>
      <c r="B31" s="171" t="s">
        <v>392</v>
      </c>
      <c r="C31" s="237" t="s">
        <v>393</v>
      </c>
      <c r="D31" s="169"/>
      <c r="E31" s="232" t="b">
        <v>0</v>
      </c>
      <c r="F31" s="169"/>
      <c r="G31" s="232" t="b">
        <v>0</v>
      </c>
      <c r="H31" s="233"/>
    </row>
    <row r="32">
      <c r="A32" s="171"/>
      <c r="B32" s="171" t="s">
        <v>394</v>
      </c>
      <c r="C32" s="237" t="s">
        <v>395</v>
      </c>
      <c r="D32" s="169"/>
      <c r="E32" s="232" t="b">
        <v>0</v>
      </c>
      <c r="F32" s="169"/>
      <c r="G32" s="232" t="b">
        <v>0</v>
      </c>
      <c r="H32" s="233"/>
    </row>
    <row r="33">
      <c r="A33" s="171"/>
      <c r="B33" s="171" t="s">
        <v>396</v>
      </c>
      <c r="C33" s="237" t="s">
        <v>397</v>
      </c>
      <c r="D33" s="169"/>
      <c r="E33" s="232" t="b">
        <v>0</v>
      </c>
      <c r="F33" s="169"/>
      <c r="G33" s="232" t="b">
        <v>0</v>
      </c>
      <c r="H33" s="233"/>
    </row>
    <row r="34">
      <c r="A34" s="171"/>
      <c r="B34" s="171" t="s">
        <v>398</v>
      </c>
      <c r="C34" s="237" t="s">
        <v>399</v>
      </c>
      <c r="D34" s="169"/>
      <c r="E34" s="232" t="b">
        <v>0</v>
      </c>
      <c r="F34" s="169"/>
      <c r="G34" s="232" t="b">
        <v>0</v>
      </c>
      <c r="H34" s="233"/>
    </row>
    <row r="35">
      <c r="A35" s="171"/>
      <c r="B35" s="171" t="s">
        <v>400</v>
      </c>
      <c r="C35" s="237" t="s">
        <v>395</v>
      </c>
      <c r="D35" s="169"/>
      <c r="E35" s="232" t="b">
        <v>0</v>
      </c>
      <c r="F35" s="169"/>
      <c r="G35" s="232" t="b">
        <v>0</v>
      </c>
      <c r="H35" s="233"/>
    </row>
    <row r="36">
      <c r="A36" s="171"/>
      <c r="B36" s="171" t="s">
        <v>401</v>
      </c>
      <c r="C36" s="237" t="s">
        <v>395</v>
      </c>
      <c r="D36" s="169"/>
      <c r="E36" s="232" t="b">
        <v>0</v>
      </c>
      <c r="F36" s="169"/>
      <c r="G36" s="232" t="b">
        <v>0</v>
      </c>
      <c r="H36" s="233"/>
    </row>
    <row r="37">
      <c r="A37" s="171"/>
      <c r="B37" s="171" t="s">
        <v>402</v>
      </c>
      <c r="C37" s="237" t="s">
        <v>403</v>
      </c>
      <c r="D37" s="169"/>
      <c r="E37" s="232" t="b">
        <v>0</v>
      </c>
      <c r="F37" s="169"/>
      <c r="G37" s="232" t="b">
        <v>0</v>
      </c>
      <c r="H37" s="233"/>
    </row>
    <row r="38">
      <c r="A38" s="171"/>
      <c r="B38" s="171" t="s">
        <v>404</v>
      </c>
      <c r="C38" s="237" t="s">
        <v>395</v>
      </c>
      <c r="D38" s="169"/>
      <c r="E38" s="232" t="b">
        <v>0</v>
      </c>
      <c r="F38" s="169"/>
      <c r="G38" s="232" t="b">
        <v>0</v>
      </c>
      <c r="H38" s="233"/>
    </row>
    <row r="39">
      <c r="A39" s="171"/>
      <c r="B39" s="171" t="s">
        <v>405</v>
      </c>
      <c r="C39" s="237"/>
      <c r="D39" s="169"/>
      <c r="E39" s="232" t="b">
        <v>0</v>
      </c>
      <c r="F39" s="169"/>
      <c r="G39" s="232" t="b">
        <v>0</v>
      </c>
      <c r="H39" s="233"/>
    </row>
    <row r="40">
      <c r="A40" s="171"/>
      <c r="B40" s="171" t="s">
        <v>406</v>
      </c>
      <c r="C40" s="237"/>
      <c r="D40" s="169"/>
      <c r="E40" s="232" t="b">
        <v>0</v>
      </c>
      <c r="F40" s="169"/>
      <c r="G40" s="232" t="b">
        <v>0</v>
      </c>
      <c r="H40" s="233"/>
    </row>
    <row r="41">
      <c r="A41" s="171"/>
      <c r="B41" s="171" t="s">
        <v>407</v>
      </c>
      <c r="C41" s="237"/>
      <c r="D41" s="169"/>
      <c r="E41" s="232" t="b">
        <v>0</v>
      </c>
      <c r="F41" s="169"/>
      <c r="G41" s="232" t="b">
        <v>0</v>
      </c>
      <c r="H41" s="233"/>
    </row>
    <row r="42" ht="38.25" customHeight="1">
      <c r="A42" s="165"/>
      <c r="B42" s="166" t="s">
        <v>208</v>
      </c>
      <c r="D42" s="166" t="s">
        <v>129</v>
      </c>
      <c r="E42" s="166" t="s">
        <v>130</v>
      </c>
      <c r="F42" s="166" t="s">
        <v>129</v>
      </c>
      <c r="G42" s="166" t="s">
        <v>131</v>
      </c>
      <c r="H42" s="239"/>
    </row>
    <row r="43">
      <c r="A43" s="171"/>
      <c r="B43" s="230" t="s">
        <v>408</v>
      </c>
      <c r="C43" s="231" t="s">
        <v>409</v>
      </c>
      <c r="D43" s="169"/>
      <c r="E43" s="232" t="b">
        <v>0</v>
      </c>
      <c r="F43" s="169"/>
      <c r="G43" s="232" t="b">
        <v>0</v>
      </c>
      <c r="H43" s="233"/>
    </row>
    <row r="44">
      <c r="A44" s="171"/>
      <c r="B44" s="230" t="s">
        <v>410</v>
      </c>
      <c r="C44" s="231" t="s">
        <v>411</v>
      </c>
      <c r="D44" s="169"/>
      <c r="E44" s="232" t="b">
        <v>0</v>
      </c>
      <c r="F44" s="169"/>
      <c r="G44" s="232" t="b">
        <v>0</v>
      </c>
      <c r="H44" s="233"/>
    </row>
    <row r="45">
      <c r="A45" s="168"/>
      <c r="B45" s="234" t="s">
        <v>412</v>
      </c>
      <c r="C45" s="240" t="s">
        <v>413</v>
      </c>
      <c r="D45" s="184"/>
      <c r="E45" s="170" t="b">
        <v>0</v>
      </c>
      <c r="F45" s="184"/>
      <c r="G45" s="241" t="b">
        <v>0</v>
      </c>
      <c r="H45" s="233"/>
    </row>
    <row r="46">
      <c r="A46" s="235"/>
      <c r="B46" s="236" t="s">
        <v>414</v>
      </c>
      <c r="C46" s="231" t="s">
        <v>415</v>
      </c>
      <c r="D46" s="169"/>
      <c r="E46" s="232" t="b">
        <v>0</v>
      </c>
      <c r="F46" s="169"/>
      <c r="G46" s="232" t="b">
        <v>0</v>
      </c>
      <c r="H46" s="233"/>
    </row>
    <row r="47">
      <c r="A47" s="168"/>
      <c r="B47" s="234" t="s">
        <v>416</v>
      </c>
      <c r="C47" s="231" t="s">
        <v>417</v>
      </c>
      <c r="D47" s="169"/>
      <c r="E47" s="232" t="b">
        <v>0</v>
      </c>
      <c r="F47" s="169"/>
      <c r="G47" s="232" t="b">
        <v>0</v>
      </c>
      <c r="H47" s="233"/>
    </row>
    <row r="48">
      <c r="A48" s="171"/>
      <c r="B48" s="230" t="s">
        <v>418</v>
      </c>
      <c r="C48" s="240" t="s">
        <v>419</v>
      </c>
      <c r="D48" s="169"/>
      <c r="E48" s="232" t="b">
        <v>0</v>
      </c>
      <c r="F48" s="169"/>
      <c r="G48" s="232" t="b">
        <v>0</v>
      </c>
      <c r="H48" s="233"/>
    </row>
    <row r="49">
      <c r="A49" s="171"/>
      <c r="B49" s="230" t="s">
        <v>420</v>
      </c>
      <c r="C49" s="231" t="s">
        <v>421</v>
      </c>
      <c r="D49" s="169"/>
      <c r="E49" s="232" t="b">
        <v>0</v>
      </c>
      <c r="F49" s="169"/>
      <c r="G49" s="232" t="b">
        <v>0</v>
      </c>
      <c r="H49" s="233"/>
    </row>
    <row r="50">
      <c r="A50" s="171"/>
      <c r="B50" s="230" t="s">
        <v>422</v>
      </c>
      <c r="C50" s="240" t="s">
        <v>423</v>
      </c>
      <c r="D50" s="169"/>
      <c r="E50" s="232" t="b">
        <v>0</v>
      </c>
      <c r="F50" s="169"/>
      <c r="G50" s="232" t="b">
        <v>0</v>
      </c>
      <c r="H50" s="233"/>
    </row>
    <row r="51">
      <c r="A51" s="168"/>
      <c r="B51" s="234" t="s">
        <v>424</v>
      </c>
      <c r="C51" s="231" t="s">
        <v>425</v>
      </c>
      <c r="D51" s="169"/>
      <c r="E51" s="232" t="b">
        <v>0</v>
      </c>
      <c r="F51" s="169"/>
      <c r="G51" s="232" t="b">
        <v>0</v>
      </c>
      <c r="H51" s="233"/>
    </row>
    <row r="52">
      <c r="A52" s="235"/>
      <c r="B52" s="236" t="s">
        <v>426</v>
      </c>
      <c r="C52" s="231" t="s">
        <v>427</v>
      </c>
      <c r="D52" s="169"/>
      <c r="E52" s="232" t="b">
        <v>0</v>
      </c>
      <c r="F52" s="169"/>
      <c r="G52" s="242"/>
      <c r="H52" s="233"/>
    </row>
    <row r="53">
      <c r="A53" s="235"/>
      <c r="B53" s="235" t="s">
        <v>428</v>
      </c>
      <c r="C53" s="243" t="s">
        <v>429</v>
      </c>
      <c r="D53" s="184"/>
      <c r="E53" s="170" t="b">
        <v>0</v>
      </c>
      <c r="F53" s="184"/>
      <c r="G53" s="244" t="b">
        <v>0</v>
      </c>
      <c r="H53" s="233"/>
    </row>
    <row r="54" ht="38.25" customHeight="1">
      <c r="A54" s="165"/>
      <c r="B54" s="166" t="s">
        <v>430</v>
      </c>
      <c r="D54" s="166" t="s">
        <v>129</v>
      </c>
      <c r="E54" s="166" t="s">
        <v>130</v>
      </c>
      <c r="F54" s="166" t="s">
        <v>129</v>
      </c>
      <c r="G54" s="166" t="s">
        <v>131</v>
      </c>
      <c r="H54" s="239"/>
    </row>
    <row r="55">
      <c r="A55" s="171"/>
      <c r="B55" s="230" t="s">
        <v>431</v>
      </c>
      <c r="C55" s="231" t="s">
        <v>432</v>
      </c>
      <c r="D55" s="169"/>
      <c r="E55" s="232" t="b">
        <v>0</v>
      </c>
      <c r="F55" s="169"/>
      <c r="G55" s="232" t="b">
        <v>0</v>
      </c>
      <c r="H55" s="233"/>
    </row>
    <row r="56">
      <c r="A56" s="171"/>
      <c r="B56" s="230" t="s">
        <v>433</v>
      </c>
      <c r="C56" s="231" t="s">
        <v>432</v>
      </c>
      <c r="D56" s="169"/>
      <c r="E56" s="232" t="b">
        <v>0</v>
      </c>
      <c r="F56" s="169"/>
      <c r="G56" s="232" t="b">
        <v>0</v>
      </c>
      <c r="H56" s="233"/>
    </row>
    <row r="57" ht="15.75" customHeight="1">
      <c r="A57" s="168"/>
      <c r="B57" s="234" t="s">
        <v>203</v>
      </c>
      <c r="C57" s="231" t="s">
        <v>432</v>
      </c>
      <c r="D57" s="169"/>
      <c r="E57" s="232" t="b">
        <v>0</v>
      </c>
      <c r="F57" s="169"/>
      <c r="G57" s="232" t="b">
        <v>0</v>
      </c>
      <c r="H57" s="233"/>
    </row>
    <row r="58">
      <c r="A58" s="168"/>
      <c r="B58" s="234" t="s">
        <v>434</v>
      </c>
      <c r="C58" s="231" t="s">
        <v>432</v>
      </c>
      <c r="D58" s="169"/>
      <c r="E58" s="232" t="b">
        <v>0</v>
      </c>
      <c r="F58" s="169"/>
      <c r="G58" s="232" t="b">
        <v>0</v>
      </c>
      <c r="H58" s="233"/>
    </row>
    <row r="59">
      <c r="A59" s="168"/>
      <c r="B59" s="234" t="s">
        <v>435</v>
      </c>
      <c r="C59" s="231" t="s">
        <v>436</v>
      </c>
      <c r="D59" s="169"/>
      <c r="E59" s="232" t="b">
        <v>0</v>
      </c>
      <c r="F59" s="169"/>
      <c r="G59" s="232" t="b">
        <v>0</v>
      </c>
      <c r="H59" s="233"/>
    </row>
    <row r="60">
      <c r="A60" s="171"/>
      <c r="B60" s="171" t="s">
        <v>437</v>
      </c>
      <c r="C60" s="237" t="s">
        <v>432</v>
      </c>
      <c r="D60" s="169"/>
      <c r="E60" s="232" t="b">
        <v>0</v>
      </c>
      <c r="F60" s="169"/>
      <c r="G60" s="232" t="b">
        <v>0</v>
      </c>
      <c r="H60" s="233"/>
    </row>
    <row r="61">
      <c r="A61" s="168"/>
      <c r="B61" s="234" t="s">
        <v>438</v>
      </c>
      <c r="C61" s="231" t="s">
        <v>436</v>
      </c>
      <c r="D61" s="169"/>
      <c r="E61" s="232" t="b">
        <v>0</v>
      </c>
      <c r="F61" s="169"/>
      <c r="G61" s="232" t="b">
        <v>0</v>
      </c>
      <c r="H61" s="233"/>
    </row>
    <row r="62">
      <c r="A62" s="168"/>
      <c r="B62" s="234" t="s">
        <v>439</v>
      </c>
      <c r="C62" s="245"/>
      <c r="D62" s="169"/>
      <c r="E62" s="232" t="b">
        <v>0</v>
      </c>
      <c r="F62" s="169"/>
      <c r="G62" s="232" t="b">
        <v>0</v>
      </c>
      <c r="H62" s="233"/>
    </row>
    <row r="63">
      <c r="A63" s="168"/>
      <c r="B63" s="234" t="s">
        <v>440</v>
      </c>
      <c r="C63" s="245"/>
      <c r="D63" s="169"/>
      <c r="E63" s="232" t="b">
        <v>0</v>
      </c>
      <c r="F63" s="169"/>
      <c r="G63" s="232" t="b">
        <v>0</v>
      </c>
      <c r="H63" s="233"/>
    </row>
    <row r="64">
      <c r="A64" s="171"/>
      <c r="B64" s="171" t="s">
        <v>441</v>
      </c>
      <c r="C64" s="237" t="s">
        <v>442</v>
      </c>
      <c r="D64" s="169"/>
      <c r="E64" s="232" t="b">
        <v>0</v>
      </c>
      <c r="F64" s="169"/>
      <c r="G64" s="232" t="b">
        <v>0</v>
      </c>
      <c r="H64" s="233"/>
    </row>
    <row r="65">
      <c r="A65" s="171"/>
      <c r="B65" s="171" t="s">
        <v>443</v>
      </c>
      <c r="C65" s="237" t="s">
        <v>444</v>
      </c>
      <c r="D65" s="169"/>
      <c r="E65" s="232" t="b">
        <v>0</v>
      </c>
      <c r="F65" s="169"/>
      <c r="G65" s="232" t="b">
        <v>0</v>
      </c>
      <c r="H65" s="233"/>
    </row>
    <row r="66" ht="38.25" customHeight="1">
      <c r="A66" s="165"/>
      <c r="B66" s="166" t="s">
        <v>128</v>
      </c>
      <c r="D66" s="166" t="s">
        <v>129</v>
      </c>
      <c r="E66" s="166" t="s">
        <v>130</v>
      </c>
      <c r="F66" s="166" t="s">
        <v>129</v>
      </c>
      <c r="G66" s="166" t="s">
        <v>131</v>
      </c>
      <c r="H66" s="239"/>
    </row>
    <row r="67">
      <c r="A67" s="168"/>
      <c r="B67" s="168" t="s">
        <v>445</v>
      </c>
      <c r="C67" s="237" t="s">
        <v>446</v>
      </c>
      <c r="D67" s="169"/>
      <c r="E67" s="232" t="b">
        <v>0</v>
      </c>
      <c r="F67" s="169"/>
      <c r="G67" s="232" t="b">
        <v>0</v>
      </c>
      <c r="H67" s="233"/>
    </row>
    <row r="68">
      <c r="A68" s="168"/>
      <c r="B68" s="234" t="s">
        <v>447</v>
      </c>
      <c r="C68" s="231"/>
      <c r="D68" s="169"/>
      <c r="E68" s="232" t="b">
        <v>0</v>
      </c>
      <c r="F68" s="169"/>
      <c r="G68" s="232" t="b">
        <v>0</v>
      </c>
      <c r="H68" s="233"/>
    </row>
    <row r="69">
      <c r="A69" s="171"/>
      <c r="B69" s="230" t="s">
        <v>448</v>
      </c>
      <c r="C69" s="231" t="s">
        <v>449</v>
      </c>
      <c r="D69" s="169"/>
      <c r="E69" s="232" t="b">
        <v>0</v>
      </c>
      <c r="F69" s="169"/>
      <c r="G69" s="232" t="b">
        <v>0</v>
      </c>
      <c r="H69" s="233"/>
    </row>
    <row r="70">
      <c r="A70" s="168"/>
      <c r="B70" s="234" t="s">
        <v>450</v>
      </c>
      <c r="C70" s="231"/>
      <c r="D70" s="169"/>
      <c r="E70" s="232" t="b">
        <v>0</v>
      </c>
      <c r="F70" s="169"/>
      <c r="G70" s="232" t="b">
        <v>0</v>
      </c>
      <c r="H70" s="233"/>
    </row>
    <row r="71">
      <c r="A71" s="171"/>
      <c r="B71" s="230" t="s">
        <v>451</v>
      </c>
      <c r="C71" s="231" t="s">
        <v>452</v>
      </c>
      <c r="D71" s="169"/>
      <c r="E71" s="232" t="b">
        <v>0</v>
      </c>
      <c r="F71" s="169"/>
      <c r="G71" s="232" t="b">
        <v>0</v>
      </c>
      <c r="H71" s="233"/>
    </row>
    <row r="72">
      <c r="A72" s="168"/>
      <c r="B72" s="234" t="s">
        <v>453</v>
      </c>
      <c r="C72" s="231"/>
      <c r="D72" s="169"/>
      <c r="E72" s="232" t="b">
        <v>0</v>
      </c>
      <c r="F72" s="169"/>
      <c r="G72" s="232" t="b">
        <v>0</v>
      </c>
      <c r="H72" s="233"/>
    </row>
    <row r="73">
      <c r="A73" s="171"/>
      <c r="B73" s="230" t="s">
        <v>203</v>
      </c>
      <c r="C73" s="231" t="s">
        <v>454</v>
      </c>
      <c r="D73" s="169"/>
      <c r="E73" s="232" t="b">
        <v>0</v>
      </c>
      <c r="F73" s="169"/>
      <c r="G73" s="232" t="b">
        <v>0</v>
      </c>
      <c r="H73" s="233"/>
    </row>
    <row r="74">
      <c r="A74" s="171"/>
      <c r="B74" s="230" t="s">
        <v>455</v>
      </c>
      <c r="C74" s="231" t="s">
        <v>454</v>
      </c>
      <c r="D74" s="169"/>
      <c r="E74" s="232" t="b">
        <v>0</v>
      </c>
      <c r="F74" s="169"/>
      <c r="G74" s="232" t="b">
        <v>0</v>
      </c>
      <c r="H74" s="233"/>
    </row>
    <row r="75">
      <c r="A75" s="171"/>
      <c r="B75" s="230" t="s">
        <v>456</v>
      </c>
      <c r="C75" s="231" t="s">
        <v>454</v>
      </c>
      <c r="D75" s="169"/>
      <c r="E75" s="232" t="b">
        <v>0</v>
      </c>
      <c r="F75" s="169"/>
      <c r="G75" s="232" t="b">
        <v>0</v>
      </c>
      <c r="H75" s="233"/>
    </row>
    <row r="76">
      <c r="A76" s="171"/>
      <c r="B76" s="230" t="s">
        <v>457</v>
      </c>
      <c r="C76" s="231" t="s">
        <v>458</v>
      </c>
      <c r="D76" s="169"/>
      <c r="E76" s="232" t="b">
        <v>0</v>
      </c>
      <c r="F76" s="169"/>
      <c r="G76" s="232" t="b">
        <v>0</v>
      </c>
      <c r="H76" s="233"/>
    </row>
    <row r="77">
      <c r="A77" s="171"/>
      <c r="B77" s="230" t="s">
        <v>459</v>
      </c>
      <c r="C77" s="231" t="s">
        <v>458</v>
      </c>
      <c r="D77" s="169"/>
      <c r="E77" s="232" t="b">
        <v>0</v>
      </c>
      <c r="F77" s="169"/>
      <c r="G77" s="232" t="b">
        <v>0</v>
      </c>
      <c r="H77" s="233"/>
    </row>
    <row r="78">
      <c r="A78" s="168"/>
      <c r="B78" s="234" t="s">
        <v>460</v>
      </c>
      <c r="C78" s="231" t="s">
        <v>458</v>
      </c>
      <c r="D78" s="169"/>
      <c r="E78" s="232" t="b">
        <v>0</v>
      </c>
      <c r="F78" s="169"/>
      <c r="G78" s="232" t="b">
        <v>0</v>
      </c>
      <c r="H78" s="233"/>
    </row>
    <row r="79">
      <c r="A79" s="171"/>
      <c r="B79" s="230" t="s">
        <v>461</v>
      </c>
      <c r="C79" s="231" t="s">
        <v>462</v>
      </c>
      <c r="D79" s="169"/>
      <c r="E79" s="232" t="b">
        <v>0</v>
      </c>
      <c r="F79" s="169"/>
      <c r="G79" s="232" t="b">
        <v>0</v>
      </c>
      <c r="H79" s="233"/>
    </row>
    <row r="80">
      <c r="A80" s="171"/>
      <c r="B80" s="230" t="s">
        <v>463</v>
      </c>
      <c r="C80" s="231" t="s">
        <v>464</v>
      </c>
      <c r="D80" s="169"/>
      <c r="E80" s="232" t="b">
        <v>0</v>
      </c>
      <c r="F80" s="169"/>
      <c r="G80" s="232" t="b">
        <v>0</v>
      </c>
      <c r="H80" s="233"/>
    </row>
    <row r="81">
      <c r="A81" s="171"/>
      <c r="B81" s="230" t="s">
        <v>465</v>
      </c>
      <c r="C81" s="231" t="s">
        <v>466</v>
      </c>
      <c r="D81" s="169"/>
      <c r="E81" s="232" t="b">
        <v>0</v>
      </c>
      <c r="F81" s="169"/>
      <c r="G81" s="232" t="b">
        <v>0</v>
      </c>
      <c r="H81" s="233"/>
    </row>
    <row r="82">
      <c r="A82" s="171"/>
      <c r="B82" s="171" t="s">
        <v>467</v>
      </c>
      <c r="C82" s="237"/>
      <c r="D82" s="169"/>
      <c r="E82" s="232" t="b">
        <v>0</v>
      </c>
      <c r="F82" s="169"/>
      <c r="G82" s="232" t="b">
        <v>0</v>
      </c>
      <c r="H82" s="233"/>
    </row>
    <row r="83">
      <c r="A83" s="171"/>
      <c r="B83" s="171" t="s">
        <v>468</v>
      </c>
      <c r="C83" s="237" t="s">
        <v>469</v>
      </c>
      <c r="D83" s="169"/>
      <c r="E83" s="232" t="b">
        <v>0</v>
      </c>
      <c r="F83" s="169"/>
      <c r="G83" s="232" t="b">
        <v>0</v>
      </c>
      <c r="H83" s="233"/>
    </row>
    <row r="84" ht="38.25" customHeight="1">
      <c r="A84" s="165"/>
      <c r="B84" s="166" t="s">
        <v>470</v>
      </c>
      <c r="D84" s="166" t="s">
        <v>129</v>
      </c>
      <c r="E84" s="166" t="s">
        <v>130</v>
      </c>
      <c r="F84" s="166" t="s">
        <v>129</v>
      </c>
      <c r="G84" s="166" t="s">
        <v>131</v>
      </c>
      <c r="H84" s="239"/>
    </row>
    <row r="85">
      <c r="A85" s="168"/>
      <c r="B85" s="234" t="s">
        <v>471</v>
      </c>
      <c r="C85" s="231" t="s">
        <v>472</v>
      </c>
      <c r="D85" s="169"/>
      <c r="E85" s="232" t="b">
        <v>0</v>
      </c>
      <c r="F85" s="169"/>
      <c r="G85" s="232" t="b">
        <v>0</v>
      </c>
      <c r="H85" s="233"/>
    </row>
    <row r="86">
      <c r="A86" s="168"/>
      <c r="B86" s="234" t="s">
        <v>473</v>
      </c>
      <c r="C86" s="245"/>
      <c r="D86" s="169"/>
      <c r="E86" s="232" t="b">
        <v>0</v>
      </c>
      <c r="F86" s="169"/>
      <c r="G86" s="232" t="b">
        <v>0</v>
      </c>
      <c r="H86" s="233"/>
    </row>
    <row r="87">
      <c r="A87" s="168"/>
      <c r="B87" s="168" t="s">
        <v>474</v>
      </c>
      <c r="C87" s="238"/>
      <c r="D87" s="169"/>
      <c r="E87" s="232" t="b">
        <v>0</v>
      </c>
      <c r="F87" s="169"/>
      <c r="G87" s="232" t="b">
        <v>0</v>
      </c>
      <c r="H87" s="233"/>
    </row>
    <row r="88">
      <c r="A88" s="171"/>
      <c r="B88" s="230" t="s">
        <v>475</v>
      </c>
      <c r="C88" s="245"/>
      <c r="D88" s="169"/>
      <c r="E88" s="232" t="b">
        <v>0</v>
      </c>
      <c r="F88" s="169"/>
      <c r="G88" s="232" t="b">
        <v>0</v>
      </c>
      <c r="H88" s="233"/>
    </row>
    <row r="89">
      <c r="A89" s="171"/>
      <c r="B89" s="230" t="s">
        <v>476</v>
      </c>
      <c r="C89" s="245"/>
      <c r="D89" s="169"/>
      <c r="E89" s="232" t="b">
        <v>0</v>
      </c>
      <c r="F89" s="169"/>
      <c r="G89" s="232" t="b">
        <v>0</v>
      </c>
      <c r="H89" s="233"/>
    </row>
    <row r="90" ht="38.25" customHeight="1">
      <c r="A90" s="165"/>
      <c r="B90" s="166" t="s">
        <v>477</v>
      </c>
      <c r="D90" s="166" t="s">
        <v>129</v>
      </c>
      <c r="E90" s="166" t="s">
        <v>130</v>
      </c>
      <c r="F90" s="166" t="s">
        <v>129</v>
      </c>
      <c r="G90" s="166" t="s">
        <v>131</v>
      </c>
      <c r="H90" s="239"/>
    </row>
    <row r="91">
      <c r="A91" s="168"/>
      <c r="B91" s="168" t="s">
        <v>478</v>
      </c>
      <c r="C91" s="237" t="s">
        <v>479</v>
      </c>
      <c r="D91" s="169"/>
      <c r="E91" s="232" t="b">
        <v>0</v>
      </c>
      <c r="F91" s="169"/>
      <c r="G91" s="232" t="b">
        <v>0</v>
      </c>
      <c r="H91" s="233"/>
    </row>
    <row r="92">
      <c r="A92" s="171"/>
      <c r="B92" s="171" t="s">
        <v>480</v>
      </c>
      <c r="C92" s="238"/>
      <c r="D92" s="169"/>
      <c r="E92" s="232" t="b">
        <v>0</v>
      </c>
      <c r="F92" s="169"/>
      <c r="G92" s="232" t="b">
        <v>0</v>
      </c>
      <c r="H92" s="233"/>
    </row>
    <row r="93">
      <c r="A93" s="168"/>
      <c r="B93" s="168" t="s">
        <v>481</v>
      </c>
      <c r="C93" s="237" t="s">
        <v>482</v>
      </c>
      <c r="D93" s="169"/>
      <c r="E93" s="232" t="b">
        <v>0</v>
      </c>
      <c r="F93" s="169"/>
      <c r="G93" s="232" t="b">
        <v>0</v>
      </c>
      <c r="H93" s="233"/>
    </row>
    <row r="94">
      <c r="A94" s="168"/>
      <c r="B94" s="168" t="s">
        <v>483</v>
      </c>
      <c r="C94" s="237" t="s">
        <v>484</v>
      </c>
      <c r="D94" s="169"/>
      <c r="E94" s="232" t="b">
        <v>0</v>
      </c>
      <c r="F94" s="169"/>
      <c r="G94" s="232" t="b">
        <v>0</v>
      </c>
      <c r="H94" s="233"/>
    </row>
    <row r="95" ht="38.25" customHeight="1">
      <c r="A95" s="165"/>
      <c r="B95" s="166" t="s">
        <v>485</v>
      </c>
      <c r="D95" s="166" t="s">
        <v>129</v>
      </c>
      <c r="E95" s="166" t="s">
        <v>130</v>
      </c>
      <c r="F95" s="166" t="s">
        <v>129</v>
      </c>
      <c r="G95" s="166" t="s">
        <v>131</v>
      </c>
      <c r="H95" s="239"/>
    </row>
    <row r="96">
      <c r="A96" s="171"/>
      <c r="B96" s="171" t="s">
        <v>486</v>
      </c>
      <c r="C96" s="237" t="s">
        <v>487</v>
      </c>
      <c r="D96" s="169"/>
      <c r="E96" s="232" t="b">
        <v>0</v>
      </c>
      <c r="F96" s="169"/>
      <c r="G96" s="232" t="b">
        <v>0</v>
      </c>
      <c r="H96" s="233"/>
    </row>
    <row r="97">
      <c r="A97" s="171"/>
      <c r="B97" s="171" t="s">
        <v>488</v>
      </c>
      <c r="C97" s="237" t="s">
        <v>489</v>
      </c>
      <c r="D97" s="169"/>
      <c r="E97" s="232" t="b">
        <v>0</v>
      </c>
      <c r="F97" s="169"/>
      <c r="G97" s="232" t="b">
        <v>0</v>
      </c>
      <c r="H97" s="233"/>
    </row>
    <row r="98">
      <c r="A98" s="171"/>
      <c r="B98" s="171" t="s">
        <v>490</v>
      </c>
      <c r="C98" s="237" t="s">
        <v>491</v>
      </c>
      <c r="D98" s="169"/>
      <c r="E98" s="232" t="b">
        <v>0</v>
      </c>
      <c r="F98" s="169"/>
      <c r="G98" s="232" t="b">
        <v>0</v>
      </c>
      <c r="H98" s="233"/>
    </row>
    <row r="99">
      <c r="A99" s="171"/>
      <c r="B99" s="171" t="s">
        <v>492</v>
      </c>
      <c r="C99" s="237" t="s">
        <v>493</v>
      </c>
      <c r="D99" s="169"/>
      <c r="E99" s="232" t="b">
        <v>0</v>
      </c>
      <c r="F99" s="169"/>
      <c r="G99" s="232" t="b">
        <v>0</v>
      </c>
      <c r="H99" s="233"/>
    </row>
    <row r="100">
      <c r="A100" s="168"/>
      <c r="B100" s="168"/>
      <c r="C100" s="238"/>
      <c r="D100" s="169"/>
      <c r="E100" s="242"/>
      <c r="F100" s="169"/>
      <c r="G100" s="242"/>
      <c r="H100" s="233"/>
    </row>
    <row r="101">
      <c r="A101" s="168"/>
      <c r="B101" s="168"/>
      <c r="C101" s="238"/>
      <c r="D101" s="169"/>
      <c r="E101" s="242"/>
      <c r="F101" s="169"/>
      <c r="G101" s="242"/>
      <c r="H101" s="233"/>
    </row>
    <row r="102">
      <c r="A102" s="168"/>
      <c r="B102" s="168"/>
      <c r="C102" s="238"/>
      <c r="D102" s="169"/>
      <c r="E102" s="242"/>
      <c r="F102" s="169"/>
      <c r="G102" s="242"/>
      <c r="H102" s="233"/>
    </row>
    <row r="103">
      <c r="A103" s="168"/>
      <c r="B103" s="168"/>
      <c r="C103" s="238"/>
      <c r="D103" s="169"/>
      <c r="E103" s="242"/>
      <c r="F103" s="169"/>
      <c r="G103" s="242"/>
      <c r="H103" s="233"/>
    </row>
    <row r="104">
      <c r="A104" s="246"/>
      <c r="B104" s="246"/>
      <c r="C104" s="238"/>
      <c r="D104" s="169"/>
      <c r="E104" s="242"/>
      <c r="F104" s="169"/>
      <c r="G104" s="242"/>
      <c r="H104" s="233"/>
    </row>
    <row r="105">
      <c r="A105" s="246"/>
      <c r="B105" s="246"/>
      <c r="C105" s="238"/>
      <c r="D105" s="169"/>
      <c r="E105" s="242"/>
      <c r="F105" s="169"/>
      <c r="G105" s="242"/>
      <c r="H105" s="233"/>
    </row>
    <row r="106">
      <c r="A106" s="247"/>
      <c r="B106" s="247"/>
      <c r="C106" s="238"/>
      <c r="D106" s="169"/>
      <c r="E106" s="242"/>
      <c r="F106" s="169"/>
      <c r="G106" s="242"/>
      <c r="H106" s="233"/>
    </row>
    <row r="107">
      <c r="A107" s="247"/>
      <c r="B107" s="247"/>
      <c r="C107" s="238"/>
      <c r="D107" s="169"/>
      <c r="E107" s="242"/>
      <c r="F107" s="169"/>
      <c r="G107" s="242"/>
      <c r="H107" s="233"/>
    </row>
    <row r="108">
      <c r="A108" s="247"/>
      <c r="B108" s="247"/>
      <c r="C108" s="238"/>
      <c r="D108" s="169"/>
      <c r="E108" s="242"/>
      <c r="F108" s="169"/>
      <c r="G108" s="242"/>
      <c r="H108" s="233"/>
    </row>
    <row r="109">
      <c r="A109" s="233"/>
      <c r="B109" s="233"/>
      <c r="C109" s="233"/>
      <c r="D109" s="233"/>
      <c r="E109" s="233"/>
      <c r="F109" s="233"/>
      <c r="G109" s="233"/>
      <c r="H109" s="233"/>
    </row>
    <row r="110">
      <c r="A110" s="233"/>
      <c r="B110" s="233"/>
      <c r="C110" s="233"/>
      <c r="D110" s="233"/>
      <c r="E110" s="233"/>
      <c r="F110" s="233"/>
      <c r="G110" s="233"/>
      <c r="H110" s="233"/>
    </row>
    <row r="111">
      <c r="A111" s="233"/>
      <c r="B111" s="233"/>
      <c r="C111" s="233"/>
      <c r="D111" s="233"/>
      <c r="E111" s="233"/>
      <c r="F111" s="233"/>
      <c r="G111" s="233"/>
      <c r="H111" s="233"/>
    </row>
    <row r="112">
      <c r="A112" s="233"/>
      <c r="B112" s="233"/>
      <c r="C112" s="233"/>
      <c r="D112" s="233"/>
      <c r="E112" s="233"/>
      <c r="F112" s="233"/>
      <c r="G112" s="233"/>
      <c r="H112" s="233"/>
    </row>
    <row r="113">
      <c r="A113" s="233"/>
      <c r="B113" s="233"/>
      <c r="C113" s="233"/>
      <c r="D113" s="233"/>
      <c r="E113" s="233"/>
      <c r="F113" s="233"/>
      <c r="G113" s="233"/>
      <c r="H113" s="233"/>
    </row>
    <row r="114">
      <c r="A114" s="233"/>
      <c r="B114" s="233"/>
      <c r="C114" s="233"/>
      <c r="D114" s="233"/>
      <c r="E114" s="233"/>
      <c r="F114" s="233"/>
      <c r="G114" s="233"/>
      <c r="H114" s="233"/>
    </row>
    <row r="115">
      <c r="A115" s="233"/>
      <c r="B115" s="233"/>
      <c r="C115" s="233"/>
      <c r="D115" s="233"/>
      <c r="E115" s="233"/>
      <c r="F115" s="233"/>
      <c r="G115" s="233"/>
      <c r="H115" s="233"/>
    </row>
    <row r="116">
      <c r="A116" s="233"/>
      <c r="B116" s="233"/>
      <c r="C116" s="233"/>
      <c r="D116" s="233"/>
      <c r="E116" s="233"/>
      <c r="F116" s="233"/>
      <c r="G116" s="233"/>
      <c r="H116" s="233"/>
    </row>
    <row r="117">
      <c r="A117" s="233"/>
      <c r="B117" s="233"/>
      <c r="C117" s="233"/>
      <c r="D117" s="233"/>
      <c r="E117" s="233"/>
      <c r="F117" s="233"/>
      <c r="G117" s="233"/>
      <c r="H117" s="233"/>
    </row>
    <row r="118">
      <c r="A118" s="233"/>
      <c r="B118" s="233"/>
      <c r="C118" s="233"/>
      <c r="D118" s="233"/>
      <c r="E118" s="233"/>
      <c r="F118" s="233"/>
      <c r="G118" s="233"/>
      <c r="H118" s="233"/>
    </row>
    <row r="119">
      <c r="A119" s="233"/>
      <c r="B119" s="233"/>
      <c r="C119" s="233"/>
      <c r="D119" s="233"/>
      <c r="E119" s="233"/>
      <c r="F119" s="233"/>
      <c r="G119" s="233"/>
      <c r="H119" s="233"/>
    </row>
    <row r="120">
      <c r="A120" s="233"/>
      <c r="B120" s="233"/>
      <c r="C120" s="233"/>
      <c r="D120" s="233"/>
      <c r="E120" s="233"/>
      <c r="F120" s="233"/>
      <c r="G120" s="233"/>
      <c r="H120" s="233"/>
    </row>
    <row r="121">
      <c r="A121" s="233"/>
      <c r="B121" s="233"/>
      <c r="C121" s="233"/>
      <c r="D121" s="233"/>
      <c r="E121" s="233"/>
      <c r="F121" s="233"/>
      <c r="G121" s="233"/>
      <c r="H121" s="233"/>
    </row>
    <row r="122">
      <c r="A122" s="233"/>
      <c r="B122" s="233"/>
      <c r="C122" s="233"/>
      <c r="D122" s="233"/>
      <c r="E122" s="233"/>
      <c r="F122" s="233"/>
      <c r="G122" s="233"/>
      <c r="H122" s="233"/>
    </row>
    <row r="123">
      <c r="A123" s="233"/>
      <c r="B123" s="233"/>
      <c r="C123" s="233"/>
      <c r="D123" s="233"/>
      <c r="E123" s="233"/>
      <c r="F123" s="233"/>
      <c r="G123" s="233"/>
      <c r="H123" s="233"/>
    </row>
    <row r="124">
      <c r="A124" s="233"/>
      <c r="B124" s="233"/>
      <c r="C124" s="233"/>
      <c r="D124" s="233"/>
      <c r="E124" s="233"/>
      <c r="F124" s="233"/>
      <c r="G124" s="233"/>
      <c r="H124" s="233"/>
    </row>
    <row r="125">
      <c r="A125" s="233"/>
      <c r="B125" s="233"/>
      <c r="C125" s="233"/>
      <c r="D125" s="233"/>
      <c r="E125" s="233"/>
      <c r="F125" s="233"/>
      <c r="G125" s="233"/>
      <c r="H125" s="233"/>
    </row>
    <row r="126">
      <c r="A126" s="233"/>
      <c r="B126" s="233"/>
      <c r="C126" s="233"/>
      <c r="D126" s="233"/>
      <c r="E126" s="233"/>
      <c r="F126" s="233"/>
      <c r="G126" s="233"/>
      <c r="H126" s="233"/>
    </row>
    <row r="127">
      <c r="A127" s="233"/>
      <c r="B127" s="233"/>
      <c r="C127" s="233"/>
      <c r="D127" s="233"/>
      <c r="E127" s="233"/>
      <c r="F127" s="233"/>
      <c r="G127" s="233"/>
      <c r="H127" s="233"/>
    </row>
    <row r="128">
      <c r="A128" s="233"/>
      <c r="B128" s="233"/>
      <c r="C128" s="233"/>
      <c r="D128" s="233"/>
      <c r="E128" s="233"/>
      <c r="F128" s="233"/>
      <c r="G128" s="233"/>
      <c r="H128" s="233"/>
    </row>
    <row r="129">
      <c r="A129" s="233"/>
      <c r="B129" s="233"/>
      <c r="C129" s="233"/>
      <c r="D129" s="233"/>
      <c r="E129" s="233"/>
      <c r="F129" s="233"/>
      <c r="G129" s="233"/>
      <c r="H129" s="233"/>
    </row>
    <row r="130">
      <c r="A130" s="233"/>
      <c r="B130" s="233"/>
      <c r="C130" s="233"/>
      <c r="D130" s="233"/>
      <c r="E130" s="233"/>
      <c r="F130" s="233"/>
      <c r="G130" s="233"/>
      <c r="H130" s="233"/>
    </row>
    <row r="131">
      <c r="A131" s="233"/>
      <c r="B131" s="233"/>
      <c r="C131" s="233"/>
      <c r="D131" s="233"/>
      <c r="E131" s="233"/>
      <c r="F131" s="233"/>
      <c r="G131" s="233"/>
      <c r="H131" s="233"/>
    </row>
    <row r="132">
      <c r="A132" s="233"/>
      <c r="B132" s="233"/>
      <c r="C132" s="233"/>
      <c r="D132" s="233"/>
      <c r="E132" s="233"/>
      <c r="F132" s="233"/>
      <c r="G132" s="233"/>
      <c r="H132" s="233"/>
    </row>
    <row r="133">
      <c r="A133" s="233"/>
      <c r="B133" s="233"/>
      <c r="C133" s="233"/>
      <c r="D133" s="233"/>
      <c r="E133" s="233"/>
      <c r="F133" s="233"/>
      <c r="G133" s="233"/>
      <c r="H133" s="233"/>
    </row>
    <row r="134">
      <c r="A134" s="233"/>
      <c r="B134" s="233"/>
      <c r="C134" s="233"/>
      <c r="D134" s="233"/>
      <c r="E134" s="233"/>
      <c r="F134" s="233"/>
      <c r="G134" s="233"/>
      <c r="H134" s="233"/>
    </row>
    <row r="135">
      <c r="A135" s="233"/>
      <c r="B135" s="233"/>
      <c r="C135" s="233"/>
      <c r="D135" s="233"/>
      <c r="E135" s="233"/>
      <c r="F135" s="233"/>
      <c r="G135" s="233"/>
      <c r="H135" s="233"/>
    </row>
    <row r="136">
      <c r="A136" s="233"/>
      <c r="B136" s="233"/>
      <c r="C136" s="233"/>
      <c r="D136" s="233"/>
      <c r="E136" s="233"/>
      <c r="F136" s="233"/>
      <c r="G136" s="233"/>
      <c r="H136" s="233"/>
    </row>
    <row r="137">
      <c r="A137" s="233"/>
      <c r="B137" s="233"/>
      <c r="C137" s="233"/>
      <c r="D137" s="233"/>
      <c r="E137" s="233"/>
      <c r="F137" s="233"/>
      <c r="G137" s="233"/>
      <c r="H137" s="233"/>
    </row>
    <row r="138">
      <c r="A138" s="233"/>
      <c r="B138" s="233"/>
      <c r="C138" s="233"/>
      <c r="D138" s="233"/>
      <c r="E138" s="233"/>
      <c r="F138" s="233"/>
      <c r="G138" s="233"/>
      <c r="H138" s="233"/>
    </row>
    <row r="139">
      <c r="A139" s="233"/>
      <c r="B139" s="233"/>
      <c r="C139" s="233"/>
      <c r="D139" s="233"/>
      <c r="E139" s="233"/>
      <c r="F139" s="233"/>
      <c r="G139" s="233"/>
      <c r="H139" s="233"/>
    </row>
    <row r="140">
      <c r="A140" s="233"/>
      <c r="B140" s="233"/>
      <c r="C140" s="233"/>
      <c r="D140" s="233"/>
      <c r="E140" s="233"/>
      <c r="F140" s="233"/>
      <c r="G140" s="233"/>
      <c r="H140" s="233"/>
    </row>
    <row r="141">
      <c r="A141" s="233"/>
      <c r="B141" s="233"/>
      <c r="C141" s="233"/>
      <c r="D141" s="233"/>
      <c r="E141" s="233"/>
      <c r="F141" s="233"/>
      <c r="G141" s="233"/>
      <c r="H141" s="233"/>
    </row>
    <row r="142">
      <c r="A142" s="233"/>
      <c r="B142" s="233"/>
      <c r="C142" s="233"/>
      <c r="D142" s="233"/>
      <c r="E142" s="233"/>
      <c r="F142" s="233"/>
      <c r="G142" s="233"/>
      <c r="H142" s="233"/>
    </row>
    <row r="143">
      <c r="A143" s="233"/>
      <c r="B143" s="233"/>
      <c r="C143" s="233"/>
      <c r="D143" s="233"/>
      <c r="E143" s="233"/>
      <c r="F143" s="233"/>
      <c r="G143" s="233"/>
      <c r="H143" s="233"/>
    </row>
    <row r="144">
      <c r="A144" s="233"/>
      <c r="B144" s="233"/>
      <c r="C144" s="233"/>
      <c r="D144" s="233"/>
      <c r="E144" s="233"/>
      <c r="F144" s="233"/>
      <c r="G144" s="233"/>
      <c r="H144" s="233"/>
    </row>
    <row r="145">
      <c r="A145" s="233"/>
      <c r="B145" s="233"/>
      <c r="C145" s="233"/>
      <c r="D145" s="233"/>
      <c r="E145" s="233"/>
      <c r="F145" s="233"/>
      <c r="G145" s="233"/>
      <c r="H145" s="233"/>
    </row>
    <row r="146">
      <c r="A146" s="233"/>
      <c r="B146" s="233"/>
      <c r="C146" s="233"/>
      <c r="D146" s="233"/>
      <c r="E146" s="233"/>
      <c r="F146" s="233"/>
      <c r="G146" s="233"/>
      <c r="H146" s="233"/>
    </row>
    <row r="147">
      <c r="A147" s="233"/>
      <c r="B147" s="233"/>
      <c r="C147" s="233"/>
      <c r="D147" s="233"/>
      <c r="E147" s="233"/>
      <c r="F147" s="233"/>
      <c r="G147" s="233"/>
      <c r="H147" s="233"/>
    </row>
    <row r="148">
      <c r="A148" s="233"/>
      <c r="B148" s="233"/>
      <c r="C148" s="233"/>
      <c r="D148" s="233"/>
      <c r="E148" s="233"/>
      <c r="F148" s="233"/>
      <c r="G148" s="233"/>
      <c r="H148" s="233"/>
    </row>
    <row r="149">
      <c r="A149" s="233"/>
      <c r="B149" s="233"/>
      <c r="C149" s="233"/>
      <c r="D149" s="233"/>
      <c r="E149" s="233"/>
      <c r="F149" s="233"/>
      <c r="G149" s="233"/>
      <c r="H149" s="233"/>
    </row>
    <row r="150">
      <c r="A150" s="233"/>
      <c r="B150" s="233"/>
      <c r="C150" s="233"/>
      <c r="D150" s="233"/>
      <c r="E150" s="233"/>
      <c r="F150" s="233"/>
      <c r="G150" s="233"/>
      <c r="H150" s="233"/>
    </row>
    <row r="151">
      <c r="A151" s="233"/>
      <c r="B151" s="233"/>
      <c r="C151" s="233"/>
      <c r="D151" s="233"/>
      <c r="E151" s="233"/>
      <c r="F151" s="233"/>
      <c r="G151" s="233"/>
      <c r="H151" s="233"/>
    </row>
    <row r="152">
      <c r="A152" s="233"/>
      <c r="B152" s="233"/>
      <c r="C152" s="233"/>
      <c r="D152" s="233"/>
      <c r="E152" s="233"/>
      <c r="F152" s="233"/>
      <c r="G152" s="233"/>
      <c r="H152" s="233"/>
    </row>
    <row r="153">
      <c r="A153" s="233"/>
      <c r="B153" s="233"/>
      <c r="C153" s="233"/>
      <c r="D153" s="233"/>
      <c r="E153" s="233"/>
      <c r="F153" s="233"/>
      <c r="G153" s="233"/>
      <c r="H153" s="233"/>
    </row>
    <row r="154">
      <c r="A154" s="233"/>
      <c r="B154" s="233"/>
      <c r="C154" s="233"/>
      <c r="D154" s="233"/>
      <c r="E154" s="233"/>
      <c r="F154" s="233"/>
      <c r="G154" s="233"/>
      <c r="H154" s="233"/>
    </row>
    <row r="155">
      <c r="A155" s="233"/>
      <c r="B155" s="233"/>
      <c r="C155" s="233"/>
      <c r="D155" s="233"/>
      <c r="E155" s="233"/>
      <c r="F155" s="233"/>
      <c r="G155" s="233"/>
      <c r="H155" s="233"/>
    </row>
    <row r="156">
      <c r="A156" s="233"/>
      <c r="B156" s="233"/>
      <c r="C156" s="233"/>
      <c r="D156" s="233"/>
      <c r="E156" s="233"/>
      <c r="F156" s="233"/>
      <c r="G156" s="233"/>
      <c r="H156" s="233"/>
    </row>
    <row r="157">
      <c r="A157" s="233"/>
      <c r="B157" s="233"/>
      <c r="C157" s="233"/>
      <c r="D157" s="233"/>
      <c r="E157" s="233"/>
      <c r="F157" s="233"/>
      <c r="G157" s="233"/>
      <c r="H157" s="233"/>
    </row>
    <row r="158">
      <c r="A158" s="233"/>
      <c r="B158" s="233"/>
      <c r="C158" s="233"/>
      <c r="D158" s="233"/>
      <c r="E158" s="233"/>
      <c r="F158" s="233"/>
      <c r="G158" s="233"/>
      <c r="H158" s="233"/>
    </row>
    <row r="159">
      <c r="A159" s="233"/>
      <c r="B159" s="233"/>
      <c r="C159" s="233"/>
      <c r="D159" s="233"/>
      <c r="E159" s="233"/>
      <c r="F159" s="233"/>
      <c r="G159" s="233"/>
      <c r="H159" s="233"/>
    </row>
    <row r="160">
      <c r="A160" s="233"/>
      <c r="B160" s="233"/>
      <c r="C160" s="233"/>
      <c r="D160" s="233"/>
      <c r="E160" s="233"/>
      <c r="F160" s="233"/>
      <c r="G160" s="233"/>
      <c r="H160" s="233"/>
    </row>
    <row r="161">
      <c r="A161" s="233"/>
      <c r="B161" s="233"/>
      <c r="C161" s="233"/>
      <c r="D161" s="233"/>
      <c r="E161" s="233"/>
      <c r="F161" s="233"/>
      <c r="G161" s="233"/>
      <c r="H161" s="233"/>
    </row>
    <row r="162">
      <c r="A162" s="233"/>
      <c r="B162" s="233"/>
      <c r="C162" s="233"/>
      <c r="D162" s="233"/>
      <c r="E162" s="233"/>
      <c r="F162" s="233"/>
      <c r="G162" s="233"/>
      <c r="H162" s="233"/>
    </row>
    <row r="163">
      <c r="A163" s="233"/>
      <c r="B163" s="233"/>
      <c r="C163" s="233"/>
      <c r="D163" s="233"/>
      <c r="E163" s="233"/>
      <c r="F163" s="233"/>
      <c r="G163" s="233"/>
      <c r="H163" s="233"/>
    </row>
    <row r="164">
      <c r="A164" s="233"/>
      <c r="B164" s="233"/>
      <c r="C164" s="233"/>
      <c r="D164" s="233"/>
      <c r="E164" s="233"/>
      <c r="F164" s="233"/>
      <c r="G164" s="233"/>
      <c r="H164" s="233"/>
    </row>
    <row r="165">
      <c r="A165" s="233"/>
      <c r="B165" s="233"/>
      <c r="C165" s="233"/>
      <c r="D165" s="233"/>
      <c r="E165" s="233"/>
      <c r="F165" s="233"/>
      <c r="G165" s="233"/>
      <c r="H165" s="233"/>
    </row>
    <row r="166">
      <c r="A166" s="233"/>
      <c r="B166" s="233"/>
      <c r="C166" s="233"/>
      <c r="D166" s="233"/>
      <c r="E166" s="233"/>
      <c r="F166" s="233"/>
      <c r="G166" s="233"/>
      <c r="H166" s="233"/>
    </row>
    <row r="167">
      <c r="A167" s="233"/>
      <c r="B167" s="233"/>
      <c r="C167" s="233"/>
      <c r="D167" s="233"/>
      <c r="E167" s="233"/>
      <c r="F167" s="233"/>
      <c r="G167" s="233"/>
      <c r="H167" s="233"/>
    </row>
    <row r="168">
      <c r="A168" s="233"/>
      <c r="B168" s="233"/>
      <c r="C168" s="233"/>
      <c r="D168" s="233"/>
      <c r="E168" s="233"/>
      <c r="F168" s="233"/>
      <c r="G168" s="233"/>
      <c r="H168" s="233"/>
    </row>
    <row r="169">
      <c r="A169" s="233"/>
      <c r="B169" s="233"/>
      <c r="C169" s="233"/>
      <c r="D169" s="233"/>
      <c r="E169" s="233"/>
      <c r="F169" s="233"/>
      <c r="G169" s="233"/>
      <c r="H169" s="233"/>
    </row>
    <row r="170">
      <c r="A170" s="233"/>
      <c r="B170" s="233"/>
      <c r="C170" s="233"/>
      <c r="D170" s="233"/>
      <c r="E170" s="233"/>
      <c r="F170" s="233"/>
      <c r="G170" s="233"/>
      <c r="H170" s="233"/>
    </row>
    <row r="171">
      <c r="A171" s="233"/>
      <c r="B171" s="233"/>
      <c r="C171" s="233"/>
      <c r="D171" s="233"/>
      <c r="E171" s="233"/>
      <c r="F171" s="233"/>
      <c r="G171" s="233"/>
      <c r="H171" s="233"/>
    </row>
    <row r="172">
      <c r="A172" s="233"/>
      <c r="B172" s="233"/>
      <c r="C172" s="233"/>
      <c r="D172" s="233"/>
      <c r="E172" s="233"/>
      <c r="F172" s="233"/>
      <c r="G172" s="233"/>
      <c r="H172" s="233"/>
    </row>
    <row r="173">
      <c r="A173" s="233"/>
      <c r="B173" s="233"/>
      <c r="C173" s="233"/>
      <c r="D173" s="233"/>
      <c r="E173" s="233"/>
      <c r="F173" s="233"/>
      <c r="G173" s="233"/>
      <c r="H173" s="233"/>
    </row>
    <row r="174">
      <c r="A174" s="233"/>
      <c r="B174" s="233"/>
      <c r="C174" s="233"/>
      <c r="D174" s="233"/>
      <c r="E174" s="233"/>
      <c r="F174" s="233"/>
      <c r="G174" s="233"/>
      <c r="H174" s="233"/>
    </row>
    <row r="175">
      <c r="A175" s="233"/>
      <c r="B175" s="233"/>
      <c r="C175" s="233"/>
      <c r="D175" s="233"/>
      <c r="E175" s="233"/>
      <c r="F175" s="233"/>
      <c r="G175" s="233"/>
      <c r="H175" s="233"/>
    </row>
    <row r="176">
      <c r="A176" s="233"/>
      <c r="B176" s="233"/>
      <c r="C176" s="233"/>
      <c r="D176" s="233"/>
      <c r="E176" s="233"/>
      <c r="F176" s="233"/>
      <c r="G176" s="233"/>
      <c r="H176" s="233"/>
    </row>
    <row r="177">
      <c r="A177" s="233"/>
      <c r="B177" s="233"/>
      <c r="C177" s="233"/>
      <c r="D177" s="233"/>
      <c r="E177" s="233"/>
      <c r="F177" s="233"/>
      <c r="G177" s="233"/>
      <c r="H177" s="233"/>
    </row>
    <row r="178">
      <c r="A178" s="233"/>
      <c r="B178" s="233"/>
      <c r="C178" s="233"/>
      <c r="D178" s="233"/>
      <c r="E178" s="233"/>
      <c r="F178" s="233"/>
      <c r="G178" s="233"/>
      <c r="H178" s="233"/>
    </row>
    <row r="179">
      <c r="A179" s="233"/>
      <c r="B179" s="233"/>
      <c r="C179" s="233"/>
      <c r="D179" s="233"/>
      <c r="E179" s="233"/>
      <c r="F179" s="233"/>
      <c r="G179" s="233"/>
      <c r="H179" s="233"/>
    </row>
    <row r="180">
      <c r="A180" s="233"/>
      <c r="B180" s="233"/>
      <c r="C180" s="233"/>
      <c r="D180" s="233"/>
      <c r="E180" s="233"/>
      <c r="F180" s="233"/>
      <c r="G180" s="233"/>
      <c r="H180" s="233"/>
    </row>
    <row r="181">
      <c r="A181" s="233"/>
      <c r="B181" s="233"/>
      <c r="C181" s="233"/>
      <c r="D181" s="233"/>
      <c r="E181" s="233"/>
      <c r="F181" s="233"/>
      <c r="G181" s="233"/>
      <c r="H181" s="233"/>
    </row>
    <row r="182">
      <c r="A182" s="233"/>
      <c r="B182" s="233"/>
      <c r="C182" s="233"/>
      <c r="D182" s="233"/>
      <c r="E182" s="233"/>
      <c r="F182" s="233"/>
      <c r="G182" s="233"/>
      <c r="H182" s="233"/>
    </row>
    <row r="183">
      <c r="A183" s="233"/>
      <c r="B183" s="233"/>
      <c r="C183" s="233"/>
      <c r="D183" s="233"/>
      <c r="E183" s="233"/>
      <c r="F183" s="233"/>
      <c r="G183" s="233"/>
      <c r="H183" s="233"/>
    </row>
    <row r="184">
      <c r="A184" s="233"/>
      <c r="B184" s="233"/>
      <c r="C184" s="233"/>
      <c r="D184" s="233"/>
      <c r="E184" s="233"/>
      <c r="F184" s="233"/>
      <c r="G184" s="233"/>
      <c r="H184" s="233"/>
    </row>
    <row r="185">
      <c r="A185" s="233"/>
      <c r="B185" s="233"/>
      <c r="C185" s="233"/>
      <c r="D185" s="233"/>
      <c r="E185" s="233"/>
      <c r="F185" s="233"/>
      <c r="G185" s="233"/>
      <c r="H185" s="233"/>
    </row>
    <row r="186">
      <c r="A186" s="233"/>
      <c r="B186" s="233"/>
      <c r="C186" s="233"/>
      <c r="D186" s="233"/>
      <c r="E186" s="233"/>
      <c r="F186" s="233"/>
      <c r="G186" s="233"/>
      <c r="H186" s="233"/>
    </row>
    <row r="187">
      <c r="A187" s="233"/>
      <c r="B187" s="233"/>
      <c r="C187" s="233"/>
      <c r="D187" s="233"/>
      <c r="E187" s="233"/>
      <c r="F187" s="233"/>
      <c r="G187" s="233"/>
      <c r="H187" s="233"/>
    </row>
    <row r="188">
      <c r="A188" s="233"/>
      <c r="B188" s="233"/>
      <c r="C188" s="233"/>
      <c r="D188" s="233"/>
      <c r="E188" s="233"/>
      <c r="F188" s="233"/>
      <c r="G188" s="233"/>
      <c r="H188" s="233"/>
    </row>
    <row r="189">
      <c r="A189" s="233"/>
      <c r="B189" s="233"/>
      <c r="C189" s="233"/>
      <c r="D189" s="233"/>
      <c r="E189" s="233"/>
      <c r="F189" s="233"/>
      <c r="G189" s="233"/>
      <c r="H189" s="233"/>
    </row>
    <row r="190">
      <c r="A190" s="233"/>
      <c r="B190" s="233"/>
      <c r="C190" s="233"/>
      <c r="D190" s="233"/>
      <c r="E190" s="233"/>
      <c r="F190" s="233"/>
      <c r="G190" s="233"/>
      <c r="H190" s="233"/>
    </row>
    <row r="191">
      <c r="A191" s="233"/>
      <c r="B191" s="233"/>
      <c r="C191" s="233"/>
      <c r="D191" s="233"/>
      <c r="E191" s="233"/>
      <c r="F191" s="233"/>
      <c r="G191" s="233"/>
      <c r="H191" s="233"/>
    </row>
    <row r="192">
      <c r="A192" s="233"/>
      <c r="B192" s="233"/>
      <c r="C192" s="233"/>
      <c r="D192" s="233"/>
      <c r="E192" s="233"/>
      <c r="F192" s="233"/>
      <c r="G192" s="233"/>
      <c r="H192" s="233"/>
    </row>
    <row r="193">
      <c r="A193" s="233"/>
      <c r="B193" s="233"/>
      <c r="C193" s="233"/>
      <c r="D193" s="233"/>
      <c r="E193" s="233"/>
      <c r="F193" s="233"/>
      <c r="G193" s="233"/>
      <c r="H193" s="233"/>
    </row>
    <row r="194">
      <c r="A194" s="233"/>
      <c r="B194" s="233"/>
      <c r="C194" s="233"/>
      <c r="D194" s="233"/>
      <c r="E194" s="233"/>
      <c r="F194" s="233"/>
      <c r="G194" s="233"/>
      <c r="H194" s="233"/>
    </row>
    <row r="195">
      <c r="A195" s="233"/>
      <c r="B195" s="233"/>
      <c r="C195" s="233"/>
      <c r="D195" s="233"/>
      <c r="E195" s="233"/>
      <c r="F195" s="233"/>
      <c r="G195" s="233"/>
      <c r="H195" s="233"/>
    </row>
    <row r="196">
      <c r="A196" s="233"/>
      <c r="B196" s="233"/>
      <c r="C196" s="233"/>
      <c r="D196" s="233"/>
      <c r="E196" s="233"/>
      <c r="F196" s="233"/>
      <c r="G196" s="233"/>
      <c r="H196" s="233"/>
    </row>
    <row r="197">
      <c r="A197" s="233"/>
      <c r="B197" s="233"/>
      <c r="C197" s="233"/>
      <c r="D197" s="233"/>
      <c r="E197" s="233"/>
      <c r="F197" s="233"/>
      <c r="G197" s="233"/>
      <c r="H197" s="233"/>
    </row>
    <row r="198">
      <c r="A198" s="233"/>
      <c r="B198" s="233"/>
      <c r="C198" s="233"/>
      <c r="D198" s="233"/>
      <c r="E198" s="233"/>
      <c r="F198" s="233"/>
      <c r="G198" s="233"/>
      <c r="H198" s="233"/>
    </row>
    <row r="199">
      <c r="A199" s="233"/>
      <c r="B199" s="233"/>
      <c r="C199" s="233"/>
      <c r="D199" s="233"/>
      <c r="E199" s="233"/>
      <c r="F199" s="233"/>
      <c r="G199" s="233"/>
      <c r="H199" s="233"/>
    </row>
    <row r="200">
      <c r="A200" s="233"/>
      <c r="B200" s="233"/>
      <c r="C200" s="233"/>
      <c r="D200" s="233"/>
      <c r="E200" s="233"/>
      <c r="F200" s="233"/>
      <c r="G200" s="233"/>
      <c r="H200" s="233"/>
    </row>
    <row r="201">
      <c r="A201" s="233"/>
      <c r="B201" s="233"/>
      <c r="C201" s="233"/>
      <c r="D201" s="233"/>
      <c r="E201" s="233"/>
      <c r="F201" s="233"/>
      <c r="G201" s="233"/>
      <c r="H201" s="233"/>
    </row>
    <row r="202">
      <c r="A202" s="233"/>
      <c r="B202" s="233"/>
      <c r="C202" s="233"/>
      <c r="D202" s="233"/>
      <c r="E202" s="233"/>
      <c r="F202" s="233"/>
      <c r="G202" s="233"/>
      <c r="H202" s="233"/>
    </row>
    <row r="203">
      <c r="A203" s="233"/>
      <c r="B203" s="233"/>
      <c r="C203" s="233"/>
      <c r="D203" s="233"/>
      <c r="E203" s="233"/>
      <c r="F203" s="233"/>
      <c r="G203" s="233"/>
      <c r="H203" s="233"/>
    </row>
    <row r="204">
      <c r="A204" s="233"/>
      <c r="B204" s="233"/>
      <c r="C204" s="233"/>
      <c r="D204" s="233"/>
      <c r="E204" s="233"/>
      <c r="F204" s="233"/>
      <c r="G204" s="233"/>
      <c r="H204" s="233"/>
    </row>
    <row r="205">
      <c r="A205" s="233"/>
      <c r="B205" s="233"/>
      <c r="C205" s="233"/>
      <c r="D205" s="233"/>
      <c r="E205" s="233"/>
      <c r="F205" s="233"/>
      <c r="G205" s="233"/>
      <c r="H205" s="233"/>
    </row>
    <row r="206">
      <c r="A206" s="233"/>
      <c r="B206" s="233"/>
      <c r="C206" s="233"/>
      <c r="D206" s="233"/>
      <c r="E206" s="233"/>
      <c r="F206" s="233"/>
      <c r="G206" s="233"/>
      <c r="H206" s="233"/>
    </row>
    <row r="207">
      <c r="A207" s="233"/>
      <c r="B207" s="233"/>
      <c r="C207" s="233"/>
      <c r="D207" s="233"/>
      <c r="E207" s="233"/>
      <c r="F207" s="233"/>
      <c r="G207" s="233"/>
      <c r="H207" s="233"/>
    </row>
    <row r="208">
      <c r="A208" s="233"/>
      <c r="B208" s="233"/>
      <c r="C208" s="233"/>
      <c r="D208" s="233"/>
      <c r="E208" s="233"/>
      <c r="F208" s="233"/>
      <c r="G208" s="233"/>
      <c r="H208" s="233"/>
    </row>
    <row r="209">
      <c r="A209" s="233"/>
      <c r="B209" s="233"/>
      <c r="C209" s="233"/>
      <c r="D209" s="233"/>
      <c r="E209" s="233"/>
      <c r="F209" s="233"/>
      <c r="G209" s="233"/>
      <c r="H209" s="233"/>
    </row>
    <row r="210">
      <c r="A210" s="233"/>
      <c r="B210" s="233"/>
      <c r="C210" s="233"/>
      <c r="D210" s="233"/>
      <c r="E210" s="233"/>
      <c r="F210" s="233"/>
      <c r="G210" s="233"/>
      <c r="H210" s="233"/>
    </row>
    <row r="211">
      <c r="A211" s="233"/>
      <c r="B211" s="233"/>
      <c r="C211" s="233"/>
      <c r="D211" s="233"/>
      <c r="E211" s="233"/>
      <c r="F211" s="233"/>
      <c r="G211" s="233"/>
      <c r="H211" s="233"/>
    </row>
    <row r="212">
      <c r="A212" s="233"/>
      <c r="B212" s="233"/>
      <c r="C212" s="233"/>
      <c r="D212" s="233"/>
      <c r="E212" s="233"/>
      <c r="F212" s="233"/>
      <c r="G212" s="233"/>
      <c r="H212" s="233"/>
    </row>
    <row r="213">
      <c r="A213" s="233"/>
      <c r="B213" s="233"/>
      <c r="C213" s="233"/>
      <c r="D213" s="233"/>
      <c r="E213" s="233"/>
      <c r="F213" s="233"/>
      <c r="G213" s="233"/>
      <c r="H213" s="233"/>
    </row>
    <row r="214">
      <c r="A214" s="233"/>
      <c r="B214" s="233"/>
      <c r="C214" s="233"/>
      <c r="D214" s="233"/>
      <c r="E214" s="233"/>
      <c r="F214" s="233"/>
      <c r="G214" s="233"/>
      <c r="H214" s="233"/>
    </row>
    <row r="215">
      <c r="A215" s="233"/>
      <c r="B215" s="233"/>
      <c r="C215" s="233"/>
      <c r="D215" s="233"/>
      <c r="E215" s="233"/>
      <c r="F215" s="233"/>
      <c r="G215" s="233"/>
      <c r="H215" s="233"/>
    </row>
    <row r="216">
      <c r="A216" s="233"/>
      <c r="B216" s="233"/>
      <c r="C216" s="233"/>
      <c r="D216" s="233"/>
      <c r="E216" s="233"/>
      <c r="F216" s="233"/>
      <c r="G216" s="233"/>
      <c r="H216" s="233"/>
    </row>
    <row r="217">
      <c r="A217" s="233"/>
      <c r="B217" s="233"/>
      <c r="C217" s="233"/>
      <c r="D217" s="233"/>
      <c r="E217" s="233"/>
      <c r="F217" s="233"/>
      <c r="G217" s="233"/>
      <c r="H217" s="233"/>
    </row>
    <row r="218">
      <c r="A218" s="233"/>
      <c r="B218" s="233"/>
      <c r="C218" s="233"/>
      <c r="D218" s="233"/>
      <c r="E218" s="233"/>
      <c r="F218" s="233"/>
      <c r="G218" s="233"/>
      <c r="H218" s="233"/>
    </row>
    <row r="219">
      <c r="A219" s="233"/>
      <c r="B219" s="233"/>
      <c r="C219" s="233"/>
      <c r="D219" s="233"/>
      <c r="E219" s="233"/>
      <c r="F219" s="233"/>
      <c r="G219" s="233"/>
      <c r="H219" s="233"/>
    </row>
    <row r="220">
      <c r="A220" s="233"/>
      <c r="B220" s="233"/>
      <c r="C220" s="233"/>
      <c r="D220" s="233"/>
      <c r="E220" s="233"/>
      <c r="F220" s="233"/>
      <c r="G220" s="233"/>
      <c r="H220" s="233"/>
    </row>
    <row r="221">
      <c r="A221" s="233"/>
      <c r="B221" s="233"/>
      <c r="C221" s="233"/>
      <c r="D221" s="233"/>
      <c r="E221" s="233"/>
      <c r="F221" s="233"/>
      <c r="G221" s="233"/>
      <c r="H221" s="233"/>
    </row>
    <row r="222">
      <c r="A222" s="233"/>
      <c r="B222" s="233"/>
      <c r="C222" s="233"/>
      <c r="D222" s="233"/>
      <c r="E222" s="233"/>
      <c r="F222" s="233"/>
      <c r="G222" s="233"/>
      <c r="H222" s="233"/>
    </row>
    <row r="223">
      <c r="A223" s="233"/>
      <c r="B223" s="233"/>
      <c r="C223" s="233"/>
      <c r="D223" s="233"/>
      <c r="E223" s="233"/>
      <c r="F223" s="233"/>
      <c r="G223" s="233"/>
      <c r="H223" s="233"/>
    </row>
    <row r="224">
      <c r="A224" s="233"/>
      <c r="B224" s="233"/>
      <c r="C224" s="233"/>
      <c r="D224" s="233"/>
      <c r="E224" s="233"/>
      <c r="F224" s="233"/>
      <c r="G224" s="233"/>
      <c r="H224" s="233"/>
    </row>
    <row r="225">
      <c r="A225" s="233"/>
      <c r="B225" s="233"/>
      <c r="C225" s="233"/>
      <c r="D225" s="233"/>
      <c r="E225" s="233"/>
      <c r="F225" s="233"/>
      <c r="G225" s="233"/>
      <c r="H225" s="233"/>
    </row>
    <row r="226">
      <c r="A226" s="233"/>
      <c r="B226" s="233"/>
      <c r="C226" s="233"/>
      <c r="D226" s="233"/>
      <c r="E226" s="233"/>
      <c r="F226" s="233"/>
      <c r="G226" s="233"/>
      <c r="H226" s="233"/>
    </row>
    <row r="227">
      <c r="A227" s="233"/>
      <c r="B227" s="233"/>
      <c r="C227" s="233"/>
      <c r="D227" s="233"/>
      <c r="E227" s="233"/>
      <c r="F227" s="233"/>
      <c r="G227" s="233"/>
      <c r="H227" s="233"/>
    </row>
    <row r="228">
      <c r="A228" s="233"/>
      <c r="B228" s="233"/>
      <c r="C228" s="233"/>
      <c r="D228" s="233"/>
      <c r="E228" s="233"/>
      <c r="F228" s="233"/>
      <c r="G228" s="233"/>
      <c r="H228" s="233"/>
    </row>
    <row r="229">
      <c r="A229" s="233"/>
      <c r="B229" s="233"/>
      <c r="C229" s="233"/>
      <c r="D229" s="233"/>
      <c r="E229" s="233"/>
      <c r="F229" s="233"/>
      <c r="G229" s="233"/>
      <c r="H229" s="233"/>
    </row>
    <row r="230">
      <c r="A230" s="233"/>
      <c r="B230" s="233"/>
      <c r="C230" s="233"/>
      <c r="D230" s="233"/>
      <c r="E230" s="233"/>
      <c r="F230" s="233"/>
      <c r="G230" s="233"/>
      <c r="H230" s="233"/>
    </row>
    <row r="231">
      <c r="A231" s="233"/>
      <c r="B231" s="233"/>
      <c r="C231" s="233"/>
      <c r="D231" s="233"/>
      <c r="E231" s="233"/>
      <c r="F231" s="233"/>
      <c r="G231" s="233"/>
      <c r="H231" s="233"/>
    </row>
    <row r="232">
      <c r="A232" s="233"/>
      <c r="B232" s="233"/>
      <c r="C232" s="233"/>
      <c r="D232" s="233"/>
      <c r="E232" s="233"/>
      <c r="F232" s="233"/>
      <c r="G232" s="233"/>
      <c r="H232" s="233"/>
    </row>
    <row r="233">
      <c r="A233" s="233"/>
      <c r="B233" s="233"/>
      <c r="C233" s="233"/>
      <c r="D233" s="233"/>
      <c r="E233" s="233"/>
      <c r="F233" s="233"/>
      <c r="G233" s="233"/>
      <c r="H233" s="233"/>
    </row>
    <row r="234">
      <c r="A234" s="233"/>
      <c r="B234" s="233"/>
      <c r="C234" s="233"/>
      <c r="D234" s="233"/>
      <c r="E234" s="233"/>
      <c r="F234" s="233"/>
      <c r="G234" s="233"/>
      <c r="H234" s="233"/>
    </row>
    <row r="235">
      <c r="A235" s="233"/>
      <c r="B235" s="233"/>
      <c r="C235" s="233"/>
      <c r="D235" s="233"/>
      <c r="E235" s="233"/>
      <c r="F235" s="233"/>
      <c r="G235" s="233"/>
      <c r="H235" s="233"/>
    </row>
    <row r="236">
      <c r="A236" s="233"/>
      <c r="B236" s="233"/>
      <c r="C236" s="233"/>
      <c r="D236" s="233"/>
      <c r="E236" s="233"/>
      <c r="F236" s="233"/>
      <c r="G236" s="233"/>
      <c r="H236" s="233"/>
    </row>
    <row r="237">
      <c r="A237" s="233"/>
      <c r="B237" s="233"/>
      <c r="C237" s="233"/>
      <c r="D237" s="233"/>
      <c r="E237" s="233"/>
      <c r="F237" s="233"/>
      <c r="G237" s="233"/>
      <c r="H237" s="233"/>
    </row>
    <row r="238">
      <c r="A238" s="233"/>
      <c r="B238" s="233"/>
      <c r="C238" s="233"/>
      <c r="D238" s="233"/>
      <c r="E238" s="233"/>
      <c r="F238" s="233"/>
      <c r="G238" s="233"/>
      <c r="H238" s="233"/>
    </row>
    <row r="239">
      <c r="A239" s="233"/>
      <c r="B239" s="233"/>
      <c r="C239" s="233"/>
      <c r="D239" s="233"/>
      <c r="E239" s="233"/>
      <c r="F239" s="233"/>
      <c r="G239" s="233"/>
      <c r="H239" s="233"/>
    </row>
    <row r="240">
      <c r="A240" s="233"/>
      <c r="B240" s="233"/>
      <c r="C240" s="233"/>
      <c r="D240" s="233"/>
      <c r="E240" s="233"/>
      <c r="F240" s="233"/>
      <c r="G240" s="233"/>
      <c r="H240" s="233"/>
    </row>
    <row r="241">
      <c r="A241" s="233"/>
      <c r="B241" s="233"/>
      <c r="C241" s="233"/>
      <c r="D241" s="233"/>
      <c r="E241" s="233"/>
      <c r="F241" s="233"/>
      <c r="G241" s="233"/>
      <c r="H241" s="233"/>
    </row>
    <row r="242">
      <c r="A242" s="233"/>
      <c r="B242" s="233"/>
      <c r="C242" s="233"/>
      <c r="D242" s="233"/>
      <c r="E242" s="233"/>
      <c r="F242" s="233"/>
      <c r="G242" s="233"/>
      <c r="H242" s="233"/>
    </row>
    <row r="243">
      <c r="A243" s="233"/>
      <c r="B243" s="233"/>
      <c r="C243" s="233"/>
      <c r="D243" s="233"/>
      <c r="E243" s="233"/>
      <c r="F243" s="233"/>
      <c r="G243" s="233"/>
      <c r="H243" s="233"/>
    </row>
    <row r="244">
      <c r="A244" s="233"/>
      <c r="B244" s="233"/>
      <c r="C244" s="233"/>
      <c r="D244" s="233"/>
      <c r="E244" s="233"/>
      <c r="F244" s="233"/>
      <c r="G244" s="233"/>
      <c r="H244" s="233"/>
    </row>
    <row r="245">
      <c r="A245" s="233"/>
      <c r="B245" s="233"/>
      <c r="C245" s="233"/>
      <c r="D245" s="233"/>
      <c r="E245" s="233"/>
      <c r="F245" s="233"/>
      <c r="G245" s="233"/>
      <c r="H245" s="233"/>
    </row>
    <row r="246">
      <c r="A246" s="233"/>
      <c r="B246" s="233"/>
      <c r="C246" s="233"/>
      <c r="D246" s="233"/>
      <c r="E246" s="233"/>
      <c r="F246" s="233"/>
      <c r="G246" s="233"/>
      <c r="H246" s="233"/>
    </row>
    <row r="247">
      <c r="A247" s="233"/>
      <c r="B247" s="233"/>
      <c r="C247" s="233"/>
      <c r="D247" s="233"/>
      <c r="E247" s="233"/>
      <c r="F247" s="233"/>
      <c r="G247" s="233"/>
      <c r="H247" s="233"/>
    </row>
    <row r="248">
      <c r="A248" s="233"/>
      <c r="B248" s="233"/>
      <c r="C248" s="233"/>
      <c r="D248" s="233"/>
      <c r="E248" s="233"/>
      <c r="F248" s="233"/>
      <c r="G248" s="233"/>
      <c r="H248" s="233"/>
    </row>
    <row r="249">
      <c r="A249" s="233"/>
      <c r="B249" s="233"/>
      <c r="C249" s="233"/>
      <c r="D249" s="233"/>
      <c r="E249" s="233"/>
      <c r="F249" s="233"/>
      <c r="G249" s="233"/>
      <c r="H249" s="233"/>
    </row>
    <row r="250">
      <c r="A250" s="233"/>
      <c r="B250" s="233"/>
      <c r="C250" s="233"/>
      <c r="D250" s="233"/>
      <c r="E250" s="233"/>
      <c r="F250" s="233"/>
      <c r="G250" s="233"/>
      <c r="H250" s="233"/>
    </row>
    <row r="251">
      <c r="A251" s="233"/>
      <c r="B251" s="233"/>
      <c r="C251" s="233"/>
      <c r="D251" s="233"/>
      <c r="E251" s="233"/>
      <c r="F251" s="233"/>
      <c r="G251" s="233"/>
      <c r="H251" s="233"/>
    </row>
    <row r="252">
      <c r="A252" s="233"/>
      <c r="B252" s="233"/>
      <c r="C252" s="233"/>
      <c r="D252" s="233"/>
      <c r="E252" s="233"/>
      <c r="F252" s="233"/>
      <c r="G252" s="233"/>
      <c r="H252" s="233"/>
    </row>
    <row r="253">
      <c r="A253" s="233"/>
      <c r="B253" s="233"/>
      <c r="C253" s="233"/>
      <c r="D253" s="233"/>
      <c r="E253" s="233"/>
      <c r="F253" s="233"/>
      <c r="G253" s="233"/>
      <c r="H253" s="233"/>
    </row>
    <row r="254">
      <c r="A254" s="233"/>
      <c r="B254" s="233"/>
      <c r="C254" s="233"/>
      <c r="D254" s="233"/>
      <c r="E254" s="233"/>
      <c r="F254" s="233"/>
      <c r="G254" s="233"/>
      <c r="H254" s="233"/>
    </row>
    <row r="255">
      <c r="A255" s="233"/>
      <c r="B255" s="233"/>
      <c r="C255" s="233"/>
      <c r="D255" s="233"/>
      <c r="E255" s="233"/>
      <c r="F255" s="233"/>
      <c r="G255" s="233"/>
      <c r="H255" s="233"/>
    </row>
    <row r="256">
      <c r="A256" s="233"/>
      <c r="B256" s="233"/>
      <c r="C256" s="233"/>
      <c r="D256" s="233"/>
      <c r="E256" s="233"/>
      <c r="F256" s="233"/>
      <c r="G256" s="233"/>
      <c r="H256" s="233"/>
    </row>
    <row r="257">
      <c r="A257" s="233"/>
      <c r="B257" s="233"/>
      <c r="C257" s="233"/>
      <c r="D257" s="233"/>
      <c r="E257" s="233"/>
      <c r="F257" s="233"/>
      <c r="G257" s="233"/>
      <c r="H257" s="233"/>
    </row>
    <row r="258">
      <c r="A258" s="233"/>
      <c r="B258" s="233"/>
      <c r="C258" s="233"/>
      <c r="D258" s="233"/>
      <c r="E258" s="233"/>
      <c r="F258" s="233"/>
      <c r="G258" s="233"/>
      <c r="H258" s="233"/>
    </row>
    <row r="259">
      <c r="A259" s="233"/>
      <c r="B259" s="233"/>
      <c r="C259" s="233"/>
      <c r="D259" s="233"/>
      <c r="E259" s="233"/>
      <c r="F259" s="233"/>
      <c r="G259" s="233"/>
      <c r="H259" s="233"/>
    </row>
    <row r="260">
      <c r="A260" s="233"/>
      <c r="B260" s="233"/>
      <c r="C260" s="233"/>
      <c r="D260" s="233"/>
      <c r="E260" s="233"/>
      <c r="F260" s="233"/>
      <c r="G260" s="233"/>
      <c r="H260" s="233"/>
    </row>
    <row r="261">
      <c r="A261" s="233"/>
      <c r="B261" s="233"/>
      <c r="C261" s="233"/>
      <c r="D261" s="233"/>
      <c r="E261" s="233"/>
      <c r="F261" s="233"/>
      <c r="G261" s="233"/>
      <c r="H261" s="233"/>
    </row>
    <row r="262">
      <c r="A262" s="233"/>
      <c r="B262" s="233"/>
      <c r="C262" s="233"/>
      <c r="D262" s="233"/>
      <c r="E262" s="233"/>
      <c r="F262" s="233"/>
      <c r="G262" s="233"/>
      <c r="H262" s="233"/>
    </row>
    <row r="263">
      <c r="A263" s="233"/>
      <c r="B263" s="233"/>
      <c r="C263" s="233"/>
      <c r="D263" s="233"/>
      <c r="E263" s="233"/>
      <c r="F263" s="233"/>
      <c r="G263" s="233"/>
      <c r="H263" s="233"/>
    </row>
    <row r="264">
      <c r="A264" s="233"/>
      <c r="B264" s="233"/>
      <c r="C264" s="233"/>
      <c r="D264" s="233"/>
      <c r="E264" s="233"/>
      <c r="F264" s="233"/>
      <c r="G264" s="233"/>
      <c r="H264" s="233"/>
    </row>
    <row r="265">
      <c r="A265" s="233"/>
      <c r="B265" s="233"/>
      <c r="C265" s="233"/>
      <c r="D265" s="233"/>
      <c r="E265" s="233"/>
      <c r="F265" s="233"/>
      <c r="G265" s="233"/>
      <c r="H265" s="233"/>
    </row>
    <row r="266">
      <c r="A266" s="233"/>
      <c r="B266" s="233"/>
      <c r="C266" s="233"/>
      <c r="D266" s="233"/>
      <c r="E266" s="233"/>
      <c r="F266" s="233"/>
      <c r="G266" s="233"/>
      <c r="H266" s="233"/>
    </row>
    <row r="267">
      <c r="A267" s="233"/>
      <c r="B267" s="233"/>
      <c r="C267" s="233"/>
      <c r="D267" s="233"/>
      <c r="E267" s="233"/>
      <c r="F267" s="233"/>
      <c r="G267" s="233"/>
      <c r="H267" s="233"/>
    </row>
    <row r="268">
      <c r="A268" s="233"/>
      <c r="B268" s="233"/>
      <c r="C268" s="233"/>
      <c r="D268" s="233"/>
      <c r="E268" s="233"/>
      <c r="F268" s="233"/>
      <c r="G268" s="233"/>
      <c r="H268" s="233"/>
    </row>
    <row r="269">
      <c r="A269" s="233"/>
      <c r="B269" s="233"/>
      <c r="C269" s="233"/>
      <c r="D269" s="233"/>
      <c r="E269" s="233"/>
      <c r="F269" s="233"/>
      <c r="G269" s="233"/>
      <c r="H269" s="233"/>
    </row>
    <row r="270">
      <c r="A270" s="233"/>
      <c r="B270" s="233"/>
      <c r="C270" s="233"/>
      <c r="D270" s="233"/>
      <c r="E270" s="233"/>
      <c r="F270" s="233"/>
      <c r="G270" s="233"/>
      <c r="H270" s="233"/>
    </row>
    <row r="271">
      <c r="A271" s="233"/>
      <c r="B271" s="233"/>
      <c r="C271" s="233"/>
      <c r="D271" s="233"/>
      <c r="E271" s="233"/>
      <c r="F271" s="233"/>
      <c r="G271" s="233"/>
      <c r="H271" s="233"/>
    </row>
    <row r="272">
      <c r="A272" s="233"/>
      <c r="B272" s="233"/>
      <c r="C272" s="233"/>
      <c r="D272" s="233"/>
      <c r="E272" s="233"/>
      <c r="F272" s="233"/>
      <c r="G272" s="233"/>
      <c r="H272" s="233"/>
    </row>
    <row r="273">
      <c r="A273" s="233"/>
      <c r="B273" s="233"/>
      <c r="C273" s="233"/>
      <c r="D273" s="233"/>
      <c r="E273" s="233"/>
      <c r="F273" s="233"/>
      <c r="G273" s="233"/>
      <c r="H273" s="233"/>
    </row>
    <row r="274">
      <c r="A274" s="233"/>
      <c r="B274" s="233"/>
      <c r="C274" s="233"/>
      <c r="D274" s="233"/>
      <c r="E274" s="233"/>
      <c r="F274" s="233"/>
      <c r="G274" s="233"/>
      <c r="H274" s="233"/>
    </row>
    <row r="275">
      <c r="A275" s="233"/>
      <c r="B275" s="233"/>
      <c r="C275" s="233"/>
      <c r="D275" s="233"/>
      <c r="E275" s="233"/>
      <c r="F275" s="233"/>
      <c r="G275" s="233"/>
      <c r="H275" s="233"/>
    </row>
    <row r="276">
      <c r="A276" s="233"/>
      <c r="B276" s="233"/>
      <c r="C276" s="233"/>
      <c r="D276" s="233"/>
      <c r="E276" s="233"/>
      <c r="F276" s="233"/>
      <c r="G276" s="233"/>
      <c r="H276" s="233"/>
    </row>
    <row r="277">
      <c r="A277" s="233"/>
      <c r="B277" s="233"/>
      <c r="C277" s="233"/>
      <c r="D277" s="233"/>
      <c r="E277" s="233"/>
      <c r="F277" s="233"/>
      <c r="G277" s="233"/>
      <c r="H277" s="233"/>
    </row>
    <row r="278">
      <c r="A278" s="233"/>
      <c r="B278" s="233"/>
      <c r="C278" s="233"/>
      <c r="D278" s="233"/>
      <c r="E278" s="233"/>
      <c r="F278" s="233"/>
      <c r="G278" s="233"/>
      <c r="H278" s="233"/>
    </row>
    <row r="279">
      <c r="A279" s="233"/>
      <c r="B279" s="233"/>
      <c r="C279" s="233"/>
      <c r="D279" s="233"/>
      <c r="E279" s="233"/>
      <c r="F279" s="233"/>
      <c r="G279" s="233"/>
      <c r="H279" s="233"/>
    </row>
    <row r="280">
      <c r="A280" s="233"/>
      <c r="B280" s="233"/>
      <c r="C280" s="233"/>
      <c r="D280" s="233"/>
      <c r="E280" s="233"/>
      <c r="F280" s="233"/>
      <c r="G280" s="233"/>
      <c r="H280" s="233"/>
    </row>
    <row r="281">
      <c r="A281" s="233"/>
      <c r="B281" s="233"/>
      <c r="C281" s="233"/>
      <c r="D281" s="233"/>
      <c r="E281" s="233"/>
      <c r="F281" s="233"/>
      <c r="G281" s="233"/>
      <c r="H281" s="233"/>
    </row>
    <row r="282">
      <c r="A282" s="233"/>
      <c r="B282" s="233"/>
      <c r="C282" s="233"/>
      <c r="D282" s="233"/>
      <c r="E282" s="233"/>
      <c r="F282" s="233"/>
      <c r="G282" s="233"/>
      <c r="H282" s="233"/>
    </row>
    <row r="283">
      <c r="A283" s="233"/>
      <c r="B283" s="233"/>
      <c r="C283" s="233"/>
      <c r="D283" s="233"/>
      <c r="E283" s="233"/>
      <c r="F283" s="233"/>
      <c r="G283" s="233"/>
      <c r="H283" s="233"/>
    </row>
    <row r="284">
      <c r="A284" s="233"/>
      <c r="B284" s="233"/>
      <c r="C284" s="233"/>
      <c r="D284" s="233"/>
      <c r="E284" s="233"/>
      <c r="F284" s="233"/>
      <c r="G284" s="233"/>
      <c r="H284" s="233"/>
    </row>
    <row r="285">
      <c r="A285" s="233"/>
      <c r="B285" s="233"/>
      <c r="C285" s="233"/>
      <c r="D285" s="233"/>
      <c r="E285" s="233"/>
      <c r="F285" s="233"/>
      <c r="G285" s="233"/>
      <c r="H285" s="233"/>
    </row>
    <row r="286">
      <c r="A286" s="233"/>
      <c r="B286" s="233"/>
      <c r="C286" s="233"/>
      <c r="D286" s="233"/>
      <c r="E286" s="233"/>
      <c r="F286" s="233"/>
      <c r="G286" s="233"/>
      <c r="H286" s="233"/>
    </row>
    <row r="287">
      <c r="A287" s="233"/>
      <c r="B287" s="233"/>
      <c r="C287" s="233"/>
      <c r="D287" s="233"/>
      <c r="E287" s="233"/>
      <c r="F287" s="233"/>
      <c r="G287" s="233"/>
      <c r="H287" s="233"/>
    </row>
    <row r="288">
      <c r="A288" s="233"/>
      <c r="B288" s="233"/>
      <c r="C288" s="233"/>
      <c r="D288" s="233"/>
      <c r="E288" s="233"/>
      <c r="F288" s="233"/>
      <c r="G288" s="233"/>
      <c r="H288" s="233"/>
    </row>
    <row r="289">
      <c r="A289" s="233"/>
      <c r="B289" s="233"/>
      <c r="C289" s="233"/>
      <c r="D289" s="233"/>
      <c r="E289" s="233"/>
      <c r="F289" s="233"/>
      <c r="G289" s="233"/>
      <c r="H289" s="233"/>
    </row>
    <row r="290">
      <c r="A290" s="233"/>
      <c r="B290" s="233"/>
      <c r="C290" s="233"/>
      <c r="D290" s="233"/>
      <c r="E290" s="233"/>
      <c r="F290" s="233"/>
      <c r="G290" s="233"/>
      <c r="H290" s="233"/>
    </row>
    <row r="291">
      <c r="A291" s="233"/>
      <c r="B291" s="233"/>
      <c r="C291" s="233"/>
      <c r="D291" s="233"/>
      <c r="E291" s="233"/>
      <c r="F291" s="233"/>
      <c r="G291" s="233"/>
      <c r="H291" s="233"/>
    </row>
    <row r="292">
      <c r="A292" s="233"/>
      <c r="B292" s="233"/>
      <c r="C292" s="233"/>
      <c r="D292" s="233"/>
      <c r="E292" s="233"/>
      <c r="F292" s="233"/>
      <c r="G292" s="233"/>
      <c r="H292" s="233"/>
    </row>
    <row r="293">
      <c r="A293" s="233"/>
      <c r="B293" s="233"/>
      <c r="C293" s="233"/>
      <c r="D293" s="233"/>
      <c r="E293" s="233"/>
      <c r="F293" s="233"/>
      <c r="G293" s="233"/>
      <c r="H293" s="233"/>
    </row>
    <row r="294">
      <c r="A294" s="233"/>
      <c r="B294" s="233"/>
      <c r="C294" s="233"/>
      <c r="D294" s="233"/>
      <c r="E294" s="233"/>
      <c r="F294" s="233"/>
      <c r="G294" s="233"/>
      <c r="H294" s="233"/>
    </row>
    <row r="295">
      <c r="A295" s="233"/>
      <c r="B295" s="233"/>
      <c r="C295" s="233"/>
      <c r="D295" s="233"/>
      <c r="E295" s="233"/>
      <c r="F295" s="233"/>
      <c r="G295" s="233"/>
      <c r="H295" s="233"/>
    </row>
    <row r="296">
      <c r="A296" s="233"/>
      <c r="B296" s="233"/>
      <c r="C296" s="233"/>
      <c r="D296" s="233"/>
      <c r="E296" s="233"/>
      <c r="F296" s="233"/>
      <c r="G296" s="233"/>
      <c r="H296" s="233"/>
    </row>
    <row r="297">
      <c r="A297" s="233"/>
      <c r="B297" s="233"/>
      <c r="C297" s="233"/>
      <c r="D297" s="233"/>
      <c r="E297" s="233"/>
      <c r="F297" s="233"/>
      <c r="G297" s="233"/>
      <c r="H297" s="233"/>
    </row>
    <row r="298">
      <c r="A298" s="233"/>
      <c r="B298" s="233"/>
      <c r="C298" s="233"/>
      <c r="D298" s="233"/>
      <c r="E298" s="233"/>
      <c r="F298" s="233"/>
      <c r="G298" s="233"/>
      <c r="H298" s="233"/>
    </row>
    <row r="299">
      <c r="A299" s="233"/>
      <c r="B299" s="233"/>
      <c r="C299" s="233"/>
      <c r="D299" s="233"/>
      <c r="E299" s="233"/>
      <c r="F299" s="233"/>
      <c r="G299" s="233"/>
      <c r="H299" s="233"/>
    </row>
    <row r="300">
      <c r="A300" s="233"/>
      <c r="B300" s="233"/>
      <c r="C300" s="233"/>
      <c r="D300" s="233"/>
      <c r="E300" s="233"/>
      <c r="F300" s="233"/>
      <c r="G300" s="233"/>
      <c r="H300" s="233"/>
    </row>
    <row r="301">
      <c r="A301" s="233"/>
      <c r="B301" s="233"/>
      <c r="C301" s="233"/>
      <c r="D301" s="233"/>
      <c r="E301" s="233"/>
      <c r="F301" s="233"/>
      <c r="G301" s="233"/>
      <c r="H301" s="233"/>
    </row>
    <row r="302">
      <c r="A302" s="233"/>
      <c r="B302" s="233"/>
      <c r="C302" s="233"/>
      <c r="D302" s="233"/>
      <c r="E302" s="233"/>
      <c r="F302" s="233"/>
      <c r="G302" s="233"/>
      <c r="H302" s="233"/>
    </row>
    <row r="303">
      <c r="A303" s="233"/>
      <c r="B303" s="233"/>
      <c r="C303" s="233"/>
      <c r="D303" s="233"/>
      <c r="E303" s="233"/>
      <c r="F303" s="233"/>
      <c r="G303" s="233"/>
      <c r="H303" s="233"/>
    </row>
    <row r="304">
      <c r="A304" s="233"/>
      <c r="B304" s="233"/>
      <c r="C304" s="233"/>
      <c r="D304" s="233"/>
      <c r="E304" s="233"/>
      <c r="F304" s="233"/>
      <c r="G304" s="233"/>
      <c r="H304" s="233"/>
    </row>
    <row r="305">
      <c r="A305" s="233"/>
      <c r="B305" s="233"/>
      <c r="C305" s="233"/>
      <c r="D305" s="233"/>
      <c r="E305" s="233"/>
      <c r="F305" s="233"/>
      <c r="G305" s="233"/>
      <c r="H305" s="233"/>
    </row>
    <row r="306">
      <c r="A306" s="233"/>
      <c r="B306" s="233"/>
      <c r="C306" s="233"/>
      <c r="D306" s="233"/>
      <c r="E306" s="233"/>
      <c r="F306" s="233"/>
      <c r="G306" s="233"/>
      <c r="H306" s="233"/>
    </row>
    <row r="307">
      <c r="A307" s="233"/>
      <c r="B307" s="233"/>
      <c r="C307" s="233"/>
      <c r="D307" s="233"/>
      <c r="E307" s="233"/>
      <c r="F307" s="233"/>
      <c r="G307" s="233"/>
      <c r="H307" s="233"/>
    </row>
    <row r="308">
      <c r="A308" s="233"/>
      <c r="B308" s="233"/>
      <c r="C308" s="233"/>
      <c r="D308" s="233"/>
      <c r="E308" s="233"/>
      <c r="F308" s="233"/>
      <c r="G308" s="233"/>
      <c r="H308" s="233"/>
    </row>
    <row r="309">
      <c r="A309" s="233"/>
      <c r="B309" s="233"/>
      <c r="C309" s="233"/>
      <c r="D309" s="233"/>
      <c r="E309" s="233"/>
      <c r="F309" s="233"/>
      <c r="G309" s="233"/>
      <c r="H309" s="233"/>
    </row>
    <row r="310">
      <c r="A310" s="233"/>
      <c r="B310" s="233"/>
      <c r="C310" s="233"/>
      <c r="D310" s="233"/>
      <c r="E310" s="233"/>
      <c r="F310" s="233"/>
      <c r="G310" s="233"/>
      <c r="H310" s="233"/>
    </row>
    <row r="311">
      <c r="A311" s="233"/>
      <c r="B311" s="233"/>
      <c r="C311" s="233"/>
      <c r="D311" s="233"/>
      <c r="E311" s="233"/>
      <c r="F311" s="233"/>
      <c r="G311" s="233"/>
      <c r="H311" s="233"/>
    </row>
    <row r="312">
      <c r="A312" s="233"/>
      <c r="B312" s="233"/>
      <c r="C312" s="233"/>
      <c r="D312" s="233"/>
      <c r="E312" s="233"/>
      <c r="F312" s="233"/>
      <c r="G312" s="233"/>
      <c r="H312" s="233"/>
    </row>
    <row r="313">
      <c r="A313" s="233"/>
      <c r="B313" s="233"/>
      <c r="C313" s="233"/>
      <c r="D313" s="233"/>
      <c r="E313" s="233"/>
      <c r="F313" s="233"/>
      <c r="G313" s="233"/>
      <c r="H313" s="233"/>
    </row>
    <row r="314">
      <c r="A314" s="233"/>
      <c r="B314" s="233"/>
      <c r="C314" s="233"/>
      <c r="D314" s="233"/>
      <c r="E314" s="233"/>
      <c r="F314" s="233"/>
      <c r="G314" s="233"/>
      <c r="H314" s="233"/>
    </row>
    <row r="315">
      <c r="A315" s="233"/>
      <c r="B315" s="233"/>
      <c r="C315" s="233"/>
      <c r="D315" s="233"/>
      <c r="E315" s="233"/>
      <c r="F315" s="233"/>
      <c r="G315" s="233"/>
      <c r="H315" s="233"/>
    </row>
    <row r="316">
      <c r="A316" s="233"/>
      <c r="B316" s="233"/>
      <c r="C316" s="233"/>
      <c r="D316" s="233"/>
      <c r="E316" s="233"/>
      <c r="F316" s="233"/>
      <c r="G316" s="233"/>
      <c r="H316" s="233"/>
    </row>
    <row r="317">
      <c r="A317" s="233"/>
      <c r="B317" s="233"/>
      <c r="C317" s="233"/>
      <c r="D317" s="233"/>
      <c r="E317" s="233"/>
      <c r="F317" s="233"/>
      <c r="G317" s="233"/>
      <c r="H317" s="233"/>
    </row>
    <row r="318">
      <c r="A318" s="233"/>
      <c r="B318" s="233"/>
      <c r="C318" s="233"/>
      <c r="D318" s="233"/>
      <c r="E318" s="233"/>
      <c r="F318" s="233"/>
      <c r="G318" s="233"/>
      <c r="H318" s="233"/>
    </row>
    <row r="319">
      <c r="A319" s="233"/>
      <c r="B319" s="233"/>
      <c r="C319" s="233"/>
      <c r="D319" s="233"/>
      <c r="E319" s="233"/>
      <c r="F319" s="233"/>
      <c r="G319" s="233"/>
      <c r="H319" s="233"/>
    </row>
    <row r="320">
      <c r="A320" s="233"/>
      <c r="B320" s="233"/>
      <c r="C320" s="233"/>
      <c r="D320" s="233"/>
      <c r="E320" s="233"/>
      <c r="F320" s="233"/>
      <c r="G320" s="233"/>
      <c r="H320" s="233"/>
    </row>
    <row r="321">
      <c r="A321" s="233"/>
      <c r="B321" s="233"/>
      <c r="C321" s="233"/>
      <c r="D321" s="233"/>
      <c r="E321" s="233"/>
      <c r="F321" s="233"/>
      <c r="G321" s="233"/>
      <c r="H321" s="233"/>
    </row>
    <row r="322">
      <c r="A322" s="233"/>
      <c r="B322" s="233"/>
      <c r="C322" s="233"/>
      <c r="D322" s="233"/>
      <c r="E322" s="233"/>
      <c r="F322" s="233"/>
      <c r="G322" s="233"/>
      <c r="H322" s="233"/>
    </row>
    <row r="323">
      <c r="A323" s="233"/>
      <c r="B323" s="233"/>
      <c r="C323" s="233"/>
      <c r="D323" s="233"/>
      <c r="E323" s="233"/>
      <c r="F323" s="233"/>
      <c r="G323" s="233"/>
      <c r="H323" s="233"/>
    </row>
    <row r="324">
      <c r="A324" s="233"/>
      <c r="B324" s="233"/>
      <c r="C324" s="233"/>
      <c r="D324" s="233"/>
      <c r="E324" s="233"/>
      <c r="F324" s="233"/>
      <c r="G324" s="233"/>
      <c r="H324" s="233"/>
    </row>
    <row r="325">
      <c r="A325" s="233"/>
      <c r="B325" s="233"/>
      <c r="C325" s="233"/>
      <c r="D325" s="233"/>
      <c r="E325" s="233"/>
      <c r="F325" s="233"/>
      <c r="G325" s="233"/>
      <c r="H325" s="233"/>
    </row>
    <row r="326">
      <c r="A326" s="233"/>
      <c r="B326" s="233"/>
      <c r="C326" s="233"/>
      <c r="D326" s="233"/>
      <c r="E326" s="233"/>
      <c r="F326" s="233"/>
      <c r="G326" s="233"/>
      <c r="H326" s="233"/>
    </row>
    <row r="327">
      <c r="A327" s="233"/>
      <c r="B327" s="233"/>
      <c r="C327" s="233"/>
      <c r="D327" s="233"/>
      <c r="E327" s="233"/>
      <c r="F327" s="233"/>
      <c r="G327" s="233"/>
      <c r="H327" s="233"/>
    </row>
    <row r="328">
      <c r="A328" s="233"/>
      <c r="B328" s="233"/>
      <c r="C328" s="233"/>
      <c r="D328" s="233"/>
      <c r="E328" s="233"/>
      <c r="F328" s="233"/>
      <c r="G328" s="233"/>
      <c r="H328" s="233"/>
    </row>
    <row r="329">
      <c r="A329" s="233"/>
      <c r="B329" s="233"/>
      <c r="C329" s="233"/>
      <c r="D329" s="233"/>
      <c r="E329" s="233"/>
      <c r="F329" s="233"/>
      <c r="G329" s="233"/>
      <c r="H329" s="233"/>
    </row>
    <row r="330">
      <c r="A330" s="233"/>
      <c r="B330" s="233"/>
      <c r="C330" s="233"/>
      <c r="D330" s="233"/>
      <c r="E330" s="233"/>
      <c r="F330" s="233"/>
      <c r="G330" s="233"/>
      <c r="H330" s="233"/>
    </row>
    <row r="331">
      <c r="A331" s="233"/>
      <c r="B331" s="233"/>
      <c r="C331" s="233"/>
      <c r="D331" s="233"/>
      <c r="E331" s="233"/>
      <c r="F331" s="233"/>
      <c r="G331" s="233"/>
      <c r="H331" s="233"/>
    </row>
    <row r="332">
      <c r="A332" s="233"/>
      <c r="B332" s="233"/>
      <c r="C332" s="233"/>
      <c r="D332" s="233"/>
      <c r="E332" s="233"/>
      <c r="F332" s="233"/>
      <c r="G332" s="233"/>
      <c r="H332" s="233"/>
    </row>
    <row r="333">
      <c r="A333" s="233"/>
      <c r="B333" s="233"/>
      <c r="C333" s="233"/>
      <c r="D333" s="233"/>
      <c r="E333" s="233"/>
      <c r="F333" s="233"/>
      <c r="G333" s="233"/>
      <c r="H333" s="233"/>
    </row>
    <row r="334">
      <c r="A334" s="233"/>
      <c r="B334" s="233"/>
      <c r="C334" s="233"/>
      <c r="D334" s="233"/>
      <c r="E334" s="233"/>
      <c r="F334" s="233"/>
      <c r="G334" s="233"/>
      <c r="H334" s="233"/>
    </row>
    <row r="335">
      <c r="A335" s="233"/>
      <c r="B335" s="233"/>
      <c r="C335" s="233"/>
      <c r="D335" s="233"/>
      <c r="E335" s="233"/>
      <c r="F335" s="233"/>
      <c r="G335" s="233"/>
      <c r="H335" s="233"/>
    </row>
    <row r="336">
      <c r="A336" s="233"/>
      <c r="B336" s="233"/>
      <c r="C336" s="233"/>
      <c r="D336" s="233"/>
      <c r="E336" s="233"/>
      <c r="F336" s="233"/>
      <c r="G336" s="233"/>
      <c r="H336" s="233"/>
    </row>
    <row r="337">
      <c r="A337" s="233"/>
      <c r="B337" s="233"/>
      <c r="C337" s="233"/>
      <c r="D337" s="233"/>
      <c r="E337" s="233"/>
      <c r="F337" s="233"/>
      <c r="G337" s="233"/>
      <c r="H337" s="233"/>
    </row>
    <row r="338">
      <c r="A338" s="233"/>
      <c r="B338" s="233"/>
      <c r="C338" s="233"/>
      <c r="D338" s="233"/>
      <c r="E338" s="233"/>
      <c r="F338" s="233"/>
      <c r="G338" s="233"/>
      <c r="H338" s="233"/>
    </row>
    <row r="339">
      <c r="A339" s="233"/>
      <c r="B339" s="233"/>
      <c r="C339" s="233"/>
      <c r="D339" s="233"/>
      <c r="E339" s="233"/>
      <c r="F339" s="233"/>
      <c r="G339" s="233"/>
      <c r="H339" s="233"/>
    </row>
    <row r="340">
      <c r="A340" s="233"/>
      <c r="B340" s="233"/>
      <c r="C340" s="233"/>
      <c r="D340" s="233"/>
      <c r="E340" s="233"/>
      <c r="F340" s="233"/>
      <c r="G340" s="233"/>
      <c r="H340" s="233"/>
    </row>
    <row r="341">
      <c r="A341" s="233"/>
      <c r="B341" s="233"/>
      <c r="C341" s="233"/>
      <c r="D341" s="233"/>
      <c r="E341" s="233"/>
      <c r="F341" s="233"/>
      <c r="G341" s="233"/>
      <c r="H341" s="233"/>
    </row>
    <row r="342">
      <c r="A342" s="233"/>
      <c r="B342" s="233"/>
      <c r="C342" s="233"/>
      <c r="D342" s="233"/>
      <c r="E342" s="233"/>
      <c r="F342" s="233"/>
      <c r="G342" s="233"/>
      <c r="H342" s="233"/>
    </row>
    <row r="343">
      <c r="A343" s="233"/>
      <c r="B343" s="233"/>
      <c r="C343" s="233"/>
      <c r="D343" s="233"/>
      <c r="E343" s="233"/>
      <c r="F343" s="233"/>
      <c r="G343" s="233"/>
      <c r="H343" s="233"/>
    </row>
    <row r="344">
      <c r="A344" s="233"/>
      <c r="B344" s="233"/>
      <c r="C344" s="233"/>
      <c r="D344" s="233"/>
      <c r="E344" s="233"/>
      <c r="F344" s="233"/>
      <c r="G344" s="233"/>
      <c r="H344" s="233"/>
    </row>
    <row r="345">
      <c r="A345" s="233"/>
      <c r="B345" s="233"/>
      <c r="C345" s="233"/>
      <c r="D345" s="233"/>
      <c r="E345" s="233"/>
      <c r="F345" s="233"/>
      <c r="G345" s="233"/>
      <c r="H345" s="233"/>
    </row>
    <row r="346">
      <c r="A346" s="233"/>
      <c r="B346" s="233"/>
      <c r="C346" s="233"/>
      <c r="D346" s="233"/>
      <c r="E346" s="233"/>
      <c r="F346" s="233"/>
      <c r="G346" s="233"/>
      <c r="H346" s="233"/>
    </row>
    <row r="347">
      <c r="A347" s="233"/>
      <c r="B347" s="233"/>
      <c r="C347" s="233"/>
      <c r="D347" s="233"/>
      <c r="E347" s="233"/>
      <c r="F347" s="233"/>
      <c r="G347" s="233"/>
      <c r="H347" s="233"/>
    </row>
    <row r="348">
      <c r="A348" s="233"/>
      <c r="B348" s="233"/>
      <c r="C348" s="233"/>
      <c r="D348" s="233"/>
      <c r="E348" s="233"/>
      <c r="F348" s="233"/>
      <c r="G348" s="233"/>
      <c r="H348" s="233"/>
    </row>
    <row r="349">
      <c r="A349" s="233"/>
      <c r="B349" s="233"/>
      <c r="C349" s="233"/>
      <c r="D349" s="233"/>
      <c r="E349" s="233"/>
      <c r="F349" s="233"/>
      <c r="G349" s="233"/>
      <c r="H349" s="233"/>
    </row>
    <row r="350">
      <c r="A350" s="233"/>
      <c r="B350" s="233"/>
      <c r="C350" s="233"/>
      <c r="D350" s="233"/>
      <c r="E350" s="233"/>
      <c r="F350" s="233"/>
      <c r="G350" s="233"/>
      <c r="H350" s="233"/>
    </row>
    <row r="351">
      <c r="A351" s="233"/>
      <c r="B351" s="233"/>
      <c r="C351" s="233"/>
      <c r="D351" s="233"/>
      <c r="E351" s="233"/>
      <c r="F351" s="233"/>
      <c r="G351" s="233"/>
      <c r="H351" s="233"/>
    </row>
    <row r="352">
      <c r="A352" s="233"/>
      <c r="B352" s="233"/>
      <c r="C352" s="233"/>
      <c r="D352" s="233"/>
      <c r="E352" s="233"/>
      <c r="F352" s="233"/>
      <c r="G352" s="233"/>
      <c r="H352" s="233"/>
    </row>
    <row r="353">
      <c r="A353" s="233"/>
      <c r="B353" s="233"/>
      <c r="C353" s="233"/>
      <c r="D353" s="233"/>
      <c r="E353" s="233"/>
      <c r="F353" s="233"/>
      <c r="G353" s="233"/>
      <c r="H353" s="233"/>
    </row>
    <row r="354">
      <c r="A354" s="233"/>
      <c r="B354" s="233"/>
      <c r="C354" s="233"/>
      <c r="D354" s="233"/>
      <c r="E354" s="233"/>
      <c r="F354" s="233"/>
      <c r="G354" s="233"/>
      <c r="H354" s="233"/>
    </row>
    <row r="355">
      <c r="A355" s="233"/>
      <c r="B355" s="233"/>
      <c r="C355" s="233"/>
      <c r="D355" s="233"/>
      <c r="E355" s="233"/>
      <c r="F355" s="233"/>
      <c r="G355" s="233"/>
      <c r="H355" s="233"/>
    </row>
    <row r="356">
      <c r="A356" s="233"/>
      <c r="B356" s="233"/>
      <c r="C356" s="233"/>
      <c r="D356" s="233"/>
      <c r="E356" s="233"/>
      <c r="F356" s="233"/>
      <c r="G356" s="233"/>
      <c r="H356" s="233"/>
    </row>
    <row r="357">
      <c r="A357" s="233"/>
      <c r="B357" s="233"/>
      <c r="C357" s="233"/>
      <c r="D357" s="233"/>
      <c r="E357" s="233"/>
      <c r="F357" s="233"/>
      <c r="G357" s="233"/>
      <c r="H357" s="233"/>
    </row>
    <row r="358">
      <c r="A358" s="233"/>
      <c r="B358" s="233"/>
      <c r="C358" s="233"/>
      <c r="D358" s="233"/>
      <c r="E358" s="233"/>
      <c r="F358" s="233"/>
      <c r="G358" s="233"/>
      <c r="H358" s="233"/>
    </row>
    <row r="359">
      <c r="A359" s="233"/>
      <c r="B359" s="233"/>
      <c r="C359" s="233"/>
      <c r="D359" s="233"/>
      <c r="E359" s="233"/>
      <c r="F359" s="233"/>
      <c r="G359" s="233"/>
      <c r="H359" s="233"/>
    </row>
    <row r="360">
      <c r="A360" s="233"/>
      <c r="B360" s="233"/>
      <c r="C360" s="233"/>
      <c r="D360" s="233"/>
      <c r="E360" s="233"/>
      <c r="F360" s="233"/>
      <c r="G360" s="233"/>
      <c r="H360" s="233"/>
    </row>
    <row r="361">
      <c r="A361" s="233"/>
      <c r="B361" s="233"/>
      <c r="C361" s="233"/>
      <c r="D361" s="233"/>
      <c r="E361" s="233"/>
      <c r="F361" s="233"/>
      <c r="G361" s="233"/>
      <c r="H361" s="233"/>
    </row>
    <row r="362">
      <c r="A362" s="233"/>
      <c r="B362" s="233"/>
      <c r="C362" s="233"/>
      <c r="D362" s="233"/>
      <c r="E362" s="233"/>
      <c r="F362" s="233"/>
      <c r="G362" s="233"/>
      <c r="H362" s="233"/>
    </row>
    <row r="363">
      <c r="A363" s="233"/>
      <c r="B363" s="233"/>
      <c r="C363" s="233"/>
      <c r="D363" s="233"/>
      <c r="E363" s="233"/>
      <c r="F363" s="233"/>
      <c r="G363" s="233"/>
      <c r="H363" s="233"/>
    </row>
    <row r="364">
      <c r="A364" s="233"/>
      <c r="B364" s="233"/>
      <c r="C364" s="233"/>
      <c r="D364" s="233"/>
      <c r="E364" s="233"/>
      <c r="F364" s="233"/>
      <c r="G364" s="233"/>
      <c r="H364" s="233"/>
    </row>
    <row r="365">
      <c r="A365" s="233"/>
      <c r="B365" s="233"/>
      <c r="C365" s="233"/>
      <c r="D365" s="233"/>
      <c r="E365" s="233"/>
      <c r="F365" s="233"/>
      <c r="G365" s="233"/>
      <c r="H365" s="233"/>
    </row>
    <row r="366">
      <c r="A366" s="233"/>
      <c r="B366" s="233"/>
      <c r="C366" s="233"/>
      <c r="D366" s="233"/>
      <c r="E366" s="233"/>
      <c r="F366" s="233"/>
      <c r="G366" s="233"/>
      <c r="H366" s="233"/>
    </row>
    <row r="367">
      <c r="A367" s="233"/>
      <c r="B367" s="233"/>
      <c r="C367" s="233"/>
      <c r="D367" s="233"/>
      <c r="E367" s="233"/>
      <c r="F367" s="233"/>
      <c r="G367" s="233"/>
      <c r="H367" s="233"/>
    </row>
    <row r="368">
      <c r="A368" s="233"/>
      <c r="B368" s="233"/>
      <c r="C368" s="233"/>
      <c r="D368" s="233"/>
      <c r="E368" s="233"/>
      <c r="F368" s="233"/>
      <c r="G368" s="233"/>
      <c r="H368" s="233"/>
    </row>
    <row r="369">
      <c r="A369" s="233"/>
      <c r="B369" s="233"/>
      <c r="C369" s="233"/>
      <c r="D369" s="233"/>
      <c r="E369" s="233"/>
      <c r="F369" s="233"/>
      <c r="G369" s="233"/>
      <c r="H369" s="233"/>
    </row>
    <row r="370">
      <c r="A370" s="233"/>
      <c r="B370" s="233"/>
      <c r="C370" s="233"/>
      <c r="D370" s="233"/>
      <c r="E370" s="233"/>
      <c r="F370" s="233"/>
      <c r="G370" s="233"/>
      <c r="H370" s="233"/>
    </row>
    <row r="371">
      <c r="A371" s="233"/>
      <c r="B371" s="233"/>
      <c r="C371" s="233"/>
      <c r="D371" s="233"/>
      <c r="E371" s="233"/>
      <c r="F371" s="233"/>
      <c r="G371" s="233"/>
      <c r="H371" s="233"/>
    </row>
    <row r="372">
      <c r="A372" s="233"/>
      <c r="B372" s="233"/>
      <c r="C372" s="233"/>
      <c r="D372" s="233"/>
      <c r="E372" s="233"/>
      <c r="F372" s="233"/>
      <c r="G372" s="233"/>
      <c r="H372" s="233"/>
    </row>
    <row r="373">
      <c r="A373" s="233"/>
      <c r="B373" s="233"/>
      <c r="C373" s="233"/>
      <c r="D373" s="233"/>
      <c r="E373" s="233"/>
      <c r="F373" s="233"/>
      <c r="G373" s="233"/>
      <c r="H373" s="233"/>
    </row>
    <row r="374">
      <c r="A374" s="233"/>
      <c r="B374" s="233"/>
      <c r="C374" s="233"/>
      <c r="D374" s="233"/>
      <c r="E374" s="233"/>
      <c r="F374" s="233"/>
      <c r="G374" s="233"/>
      <c r="H374" s="233"/>
    </row>
    <row r="375">
      <c r="A375" s="233"/>
      <c r="B375" s="233"/>
      <c r="C375" s="233"/>
      <c r="D375" s="233"/>
      <c r="E375" s="233"/>
      <c r="F375" s="233"/>
      <c r="G375" s="233"/>
      <c r="H375" s="233"/>
    </row>
    <row r="376">
      <c r="A376" s="233"/>
      <c r="B376" s="233"/>
      <c r="C376" s="233"/>
      <c r="D376" s="233"/>
      <c r="E376" s="233"/>
      <c r="F376" s="233"/>
      <c r="G376" s="233"/>
      <c r="H376" s="233"/>
    </row>
    <row r="377">
      <c r="A377" s="233"/>
      <c r="B377" s="233"/>
      <c r="C377" s="233"/>
      <c r="D377" s="233"/>
      <c r="E377" s="233"/>
      <c r="F377" s="233"/>
      <c r="G377" s="233"/>
      <c r="H377" s="233"/>
    </row>
    <row r="378">
      <c r="A378" s="233"/>
      <c r="B378" s="233"/>
      <c r="C378" s="233"/>
      <c r="D378" s="233"/>
      <c r="E378" s="233"/>
      <c r="F378" s="233"/>
      <c r="G378" s="233"/>
      <c r="H378" s="233"/>
    </row>
    <row r="379">
      <c r="A379" s="233"/>
      <c r="B379" s="233"/>
      <c r="C379" s="233"/>
      <c r="D379" s="233"/>
      <c r="E379" s="233"/>
      <c r="F379" s="233"/>
      <c r="G379" s="233"/>
      <c r="H379" s="233"/>
    </row>
    <row r="380">
      <c r="A380" s="233"/>
      <c r="B380" s="233"/>
      <c r="C380" s="233"/>
      <c r="D380" s="233"/>
      <c r="E380" s="233"/>
      <c r="F380" s="233"/>
      <c r="G380" s="233"/>
      <c r="H380" s="233"/>
    </row>
    <row r="381">
      <c r="A381" s="233"/>
      <c r="B381" s="233"/>
      <c r="C381" s="233"/>
      <c r="D381" s="233"/>
      <c r="E381" s="233"/>
      <c r="F381" s="233"/>
      <c r="G381" s="233"/>
      <c r="H381" s="233"/>
    </row>
    <row r="382">
      <c r="A382" s="233"/>
      <c r="B382" s="233"/>
      <c r="C382" s="233"/>
      <c r="D382" s="233"/>
      <c r="E382" s="233"/>
      <c r="F382" s="233"/>
      <c r="G382" s="233"/>
      <c r="H382" s="233"/>
    </row>
    <row r="383">
      <c r="A383" s="233"/>
      <c r="B383" s="233"/>
      <c r="C383" s="233"/>
      <c r="D383" s="233"/>
      <c r="E383" s="233"/>
      <c r="F383" s="233"/>
      <c r="G383" s="233"/>
      <c r="H383" s="233"/>
    </row>
    <row r="384">
      <c r="A384" s="233"/>
      <c r="B384" s="233"/>
      <c r="C384" s="233"/>
      <c r="D384" s="233"/>
      <c r="E384" s="233"/>
      <c r="F384" s="233"/>
      <c r="G384" s="233"/>
      <c r="H384" s="233"/>
    </row>
    <row r="385">
      <c r="A385" s="233"/>
      <c r="B385" s="233"/>
      <c r="C385" s="233"/>
      <c r="D385" s="233"/>
      <c r="E385" s="233"/>
      <c r="F385" s="233"/>
      <c r="G385" s="233"/>
      <c r="H385" s="233"/>
    </row>
    <row r="386">
      <c r="A386" s="233"/>
      <c r="B386" s="233"/>
      <c r="C386" s="233"/>
      <c r="D386" s="233"/>
      <c r="E386" s="233"/>
      <c r="F386" s="233"/>
      <c r="G386" s="233"/>
      <c r="H386" s="233"/>
    </row>
    <row r="387">
      <c r="A387" s="233"/>
      <c r="B387" s="233"/>
      <c r="C387" s="233"/>
      <c r="D387" s="233"/>
      <c r="E387" s="233"/>
      <c r="F387" s="233"/>
      <c r="G387" s="233"/>
      <c r="H387" s="233"/>
    </row>
    <row r="388">
      <c r="A388" s="233"/>
      <c r="B388" s="233"/>
      <c r="C388" s="233"/>
      <c r="D388" s="233"/>
      <c r="E388" s="233"/>
      <c r="F388" s="233"/>
      <c r="G388" s="233"/>
      <c r="H388" s="233"/>
    </row>
    <row r="389">
      <c r="A389" s="233"/>
      <c r="B389" s="233"/>
      <c r="C389" s="233"/>
      <c r="D389" s="233"/>
      <c r="E389" s="233"/>
      <c r="F389" s="233"/>
      <c r="G389" s="233"/>
      <c r="H389" s="233"/>
    </row>
    <row r="390">
      <c r="A390" s="233"/>
      <c r="B390" s="233"/>
      <c r="C390" s="233"/>
      <c r="D390" s="233"/>
      <c r="E390" s="233"/>
      <c r="F390" s="233"/>
      <c r="G390" s="233"/>
      <c r="H390" s="233"/>
    </row>
    <row r="391">
      <c r="A391" s="233"/>
      <c r="B391" s="233"/>
      <c r="C391" s="233"/>
      <c r="D391" s="233"/>
      <c r="E391" s="233"/>
      <c r="F391" s="233"/>
      <c r="G391" s="233"/>
      <c r="H391" s="233"/>
    </row>
    <row r="392">
      <c r="A392" s="233"/>
      <c r="B392" s="233"/>
      <c r="C392" s="233"/>
      <c r="D392" s="233"/>
      <c r="E392" s="233"/>
      <c r="F392" s="233"/>
      <c r="G392" s="233"/>
      <c r="H392" s="233"/>
    </row>
    <row r="393">
      <c r="A393" s="233"/>
      <c r="B393" s="233"/>
      <c r="C393" s="233"/>
      <c r="D393" s="233"/>
      <c r="E393" s="233"/>
      <c r="F393" s="233"/>
      <c r="G393" s="233"/>
      <c r="H393" s="233"/>
    </row>
    <row r="394">
      <c r="A394" s="233"/>
      <c r="B394" s="233"/>
      <c r="C394" s="233"/>
      <c r="D394" s="233"/>
      <c r="E394" s="233"/>
      <c r="F394" s="233"/>
      <c r="G394" s="233"/>
      <c r="H394" s="233"/>
    </row>
    <row r="395">
      <c r="A395" s="233"/>
      <c r="B395" s="233"/>
      <c r="C395" s="233"/>
      <c r="D395" s="233"/>
      <c r="E395" s="233"/>
      <c r="F395" s="233"/>
      <c r="G395" s="233"/>
      <c r="H395" s="233"/>
    </row>
    <row r="396">
      <c r="A396" s="233"/>
      <c r="B396" s="233"/>
      <c r="C396" s="233"/>
      <c r="D396" s="233"/>
      <c r="E396" s="233"/>
      <c r="F396" s="233"/>
      <c r="G396" s="233"/>
      <c r="H396" s="233"/>
    </row>
    <row r="397">
      <c r="A397" s="233"/>
      <c r="B397" s="233"/>
      <c r="C397" s="233"/>
      <c r="D397" s="233"/>
      <c r="E397" s="233"/>
      <c r="F397" s="233"/>
      <c r="G397" s="233"/>
      <c r="H397" s="233"/>
    </row>
    <row r="398">
      <c r="A398" s="233"/>
      <c r="B398" s="233"/>
      <c r="C398" s="233"/>
      <c r="D398" s="233"/>
      <c r="E398" s="233"/>
      <c r="F398" s="233"/>
      <c r="G398" s="233"/>
      <c r="H398" s="233"/>
    </row>
    <row r="399">
      <c r="A399" s="233"/>
      <c r="B399" s="233"/>
      <c r="C399" s="233"/>
      <c r="D399" s="233"/>
      <c r="E399" s="233"/>
      <c r="F399" s="233"/>
      <c r="G399" s="233"/>
      <c r="H399" s="233"/>
    </row>
    <row r="400">
      <c r="A400" s="233"/>
      <c r="B400" s="233"/>
      <c r="C400" s="233"/>
      <c r="D400" s="233"/>
      <c r="E400" s="233"/>
      <c r="F400" s="233"/>
      <c r="G400" s="233"/>
      <c r="H400" s="233"/>
    </row>
    <row r="401">
      <c r="A401" s="233"/>
      <c r="B401" s="233"/>
      <c r="C401" s="233"/>
      <c r="D401" s="233"/>
      <c r="E401" s="233"/>
      <c r="F401" s="233"/>
      <c r="G401" s="233"/>
      <c r="H401" s="233"/>
    </row>
    <row r="402">
      <c r="A402" s="233"/>
      <c r="B402" s="233"/>
      <c r="C402" s="233"/>
      <c r="D402" s="233"/>
      <c r="E402" s="233"/>
      <c r="F402" s="233"/>
      <c r="G402" s="233"/>
      <c r="H402" s="233"/>
    </row>
    <row r="403">
      <c r="A403" s="233"/>
      <c r="B403" s="233"/>
      <c r="C403" s="233"/>
      <c r="D403" s="233"/>
      <c r="E403" s="233"/>
      <c r="F403" s="233"/>
      <c r="G403" s="233"/>
      <c r="H403" s="233"/>
    </row>
    <row r="404">
      <c r="A404" s="233"/>
      <c r="B404" s="233"/>
      <c r="C404" s="233"/>
      <c r="D404" s="233"/>
      <c r="E404" s="233"/>
      <c r="F404" s="233"/>
      <c r="G404" s="233"/>
      <c r="H404" s="233"/>
    </row>
    <row r="405">
      <c r="A405" s="233"/>
      <c r="B405" s="233"/>
      <c r="C405" s="233"/>
      <c r="D405" s="233"/>
      <c r="E405" s="233"/>
      <c r="F405" s="233"/>
      <c r="G405" s="233"/>
      <c r="H405" s="233"/>
    </row>
    <row r="406">
      <c r="A406" s="233"/>
      <c r="B406" s="233"/>
      <c r="C406" s="233"/>
      <c r="D406" s="233"/>
      <c r="E406" s="233"/>
      <c r="F406" s="233"/>
      <c r="G406" s="233"/>
      <c r="H406" s="233"/>
    </row>
    <row r="407">
      <c r="A407" s="233"/>
      <c r="B407" s="233"/>
      <c r="C407" s="233"/>
      <c r="D407" s="233"/>
      <c r="E407" s="233"/>
      <c r="F407" s="233"/>
      <c r="G407" s="233"/>
      <c r="H407" s="233"/>
    </row>
    <row r="408">
      <c r="A408" s="233"/>
      <c r="B408" s="233"/>
      <c r="C408" s="233"/>
      <c r="D408" s="233"/>
      <c r="E408" s="233"/>
      <c r="F408" s="233"/>
      <c r="G408" s="233"/>
      <c r="H408" s="233"/>
    </row>
    <row r="409">
      <c r="A409" s="233"/>
      <c r="B409" s="233"/>
      <c r="C409" s="233"/>
      <c r="D409" s="233"/>
      <c r="E409" s="233"/>
      <c r="F409" s="233"/>
      <c r="G409" s="233"/>
      <c r="H409" s="233"/>
    </row>
    <row r="410">
      <c r="A410" s="233"/>
      <c r="B410" s="233"/>
      <c r="C410" s="233"/>
      <c r="D410" s="233"/>
      <c r="E410" s="233"/>
      <c r="F410" s="233"/>
      <c r="G410" s="233"/>
      <c r="H410" s="233"/>
    </row>
    <row r="411">
      <c r="A411" s="233"/>
      <c r="B411" s="233"/>
      <c r="C411" s="233"/>
      <c r="D411" s="233"/>
      <c r="E411" s="233"/>
      <c r="F411" s="233"/>
      <c r="G411" s="233"/>
      <c r="H411" s="233"/>
    </row>
    <row r="412">
      <c r="A412" s="233"/>
      <c r="B412" s="233"/>
      <c r="C412" s="233"/>
      <c r="D412" s="233"/>
      <c r="E412" s="233"/>
      <c r="F412" s="233"/>
      <c r="G412" s="233"/>
      <c r="H412" s="233"/>
    </row>
    <row r="413">
      <c r="A413" s="233"/>
      <c r="B413" s="233"/>
      <c r="C413" s="233"/>
      <c r="D413" s="233"/>
      <c r="E413" s="233"/>
      <c r="F413" s="233"/>
      <c r="G413" s="233"/>
      <c r="H413" s="233"/>
    </row>
    <row r="414">
      <c r="A414" s="233"/>
      <c r="B414" s="233"/>
      <c r="C414" s="233"/>
      <c r="D414" s="233"/>
      <c r="E414" s="233"/>
      <c r="F414" s="233"/>
      <c r="G414" s="233"/>
      <c r="H414" s="233"/>
    </row>
    <row r="415">
      <c r="A415" s="233"/>
      <c r="B415" s="233"/>
      <c r="C415" s="233"/>
      <c r="D415" s="233"/>
      <c r="E415" s="233"/>
      <c r="F415" s="233"/>
      <c r="G415" s="233"/>
      <c r="H415" s="233"/>
    </row>
    <row r="416">
      <c r="A416" s="233"/>
      <c r="B416" s="233"/>
      <c r="C416" s="233"/>
      <c r="D416" s="233"/>
      <c r="E416" s="233"/>
      <c r="F416" s="233"/>
      <c r="G416" s="233"/>
      <c r="H416" s="233"/>
    </row>
    <row r="417">
      <c r="A417" s="233"/>
      <c r="B417" s="233"/>
      <c r="C417" s="233"/>
      <c r="D417" s="233"/>
      <c r="E417" s="233"/>
      <c r="F417" s="233"/>
      <c r="G417" s="233"/>
      <c r="H417" s="233"/>
    </row>
    <row r="418">
      <c r="A418" s="233"/>
      <c r="B418" s="233"/>
      <c r="C418" s="233"/>
      <c r="D418" s="233"/>
      <c r="E418" s="233"/>
      <c r="F418" s="233"/>
      <c r="G418" s="233"/>
      <c r="H418" s="233"/>
    </row>
    <row r="419">
      <c r="A419" s="233"/>
      <c r="B419" s="233"/>
      <c r="C419" s="233"/>
      <c r="D419" s="233"/>
      <c r="E419" s="233"/>
      <c r="F419" s="233"/>
      <c r="G419" s="233"/>
      <c r="H419" s="233"/>
    </row>
    <row r="420">
      <c r="A420" s="233"/>
      <c r="B420" s="233"/>
      <c r="C420" s="233"/>
      <c r="D420" s="233"/>
      <c r="E420" s="233"/>
      <c r="F420" s="233"/>
      <c r="G420" s="233"/>
      <c r="H420" s="233"/>
    </row>
    <row r="421">
      <c r="A421" s="233"/>
      <c r="B421" s="233"/>
      <c r="C421" s="233"/>
      <c r="D421" s="233"/>
      <c r="E421" s="233"/>
      <c r="F421" s="233"/>
      <c r="G421" s="233"/>
      <c r="H421" s="233"/>
    </row>
    <row r="422">
      <c r="A422" s="233"/>
      <c r="B422" s="233"/>
      <c r="C422" s="233"/>
      <c r="D422" s="233"/>
      <c r="E422" s="233"/>
      <c r="F422" s="233"/>
      <c r="G422" s="233"/>
      <c r="H422" s="233"/>
    </row>
    <row r="423">
      <c r="A423" s="233"/>
      <c r="B423" s="233"/>
      <c r="C423" s="233"/>
      <c r="D423" s="233"/>
      <c r="E423" s="233"/>
      <c r="F423" s="233"/>
      <c r="G423" s="233"/>
      <c r="H423" s="233"/>
    </row>
    <row r="424">
      <c r="A424" s="233"/>
      <c r="B424" s="233"/>
      <c r="C424" s="233"/>
      <c r="D424" s="233"/>
      <c r="E424" s="233"/>
      <c r="F424" s="233"/>
      <c r="G424" s="233"/>
      <c r="H424" s="233"/>
    </row>
    <row r="425">
      <c r="A425" s="233"/>
      <c r="B425" s="233"/>
      <c r="C425" s="233"/>
      <c r="D425" s="233"/>
      <c r="E425" s="233"/>
      <c r="F425" s="233"/>
      <c r="G425" s="233"/>
      <c r="H425" s="233"/>
    </row>
    <row r="426">
      <c r="A426" s="233"/>
      <c r="B426" s="233"/>
      <c r="C426" s="233"/>
      <c r="D426" s="233"/>
      <c r="E426" s="233"/>
      <c r="F426" s="233"/>
      <c r="G426" s="233"/>
      <c r="H426" s="233"/>
    </row>
    <row r="427">
      <c r="A427" s="233"/>
      <c r="B427" s="233"/>
      <c r="C427" s="233"/>
      <c r="D427" s="233"/>
      <c r="E427" s="233"/>
      <c r="F427" s="233"/>
      <c r="G427" s="233"/>
      <c r="H427" s="233"/>
    </row>
    <row r="428">
      <c r="A428" s="233"/>
      <c r="B428" s="233"/>
      <c r="C428" s="233"/>
      <c r="D428" s="233"/>
      <c r="E428" s="233"/>
      <c r="F428" s="233"/>
      <c r="G428" s="233"/>
      <c r="H428" s="233"/>
    </row>
    <row r="429">
      <c r="A429" s="233"/>
      <c r="B429" s="233"/>
      <c r="C429" s="233"/>
      <c r="D429" s="233"/>
      <c r="E429" s="233"/>
      <c r="F429" s="233"/>
      <c r="G429" s="233"/>
      <c r="H429" s="233"/>
    </row>
    <row r="430">
      <c r="A430" s="233"/>
      <c r="B430" s="233"/>
      <c r="C430" s="233"/>
      <c r="D430" s="233"/>
      <c r="E430" s="233"/>
      <c r="F430" s="233"/>
      <c r="G430" s="233"/>
      <c r="H430" s="233"/>
    </row>
    <row r="431">
      <c r="A431" s="233"/>
      <c r="B431" s="233"/>
      <c r="C431" s="233"/>
      <c r="D431" s="233"/>
      <c r="E431" s="233"/>
      <c r="F431" s="233"/>
      <c r="G431" s="233"/>
      <c r="H431" s="233"/>
    </row>
    <row r="432">
      <c r="A432" s="233"/>
      <c r="B432" s="233"/>
      <c r="C432" s="233"/>
      <c r="D432" s="233"/>
      <c r="E432" s="233"/>
      <c r="F432" s="233"/>
      <c r="G432" s="233"/>
      <c r="H432" s="233"/>
    </row>
    <row r="433">
      <c r="A433" s="233"/>
      <c r="B433" s="233"/>
      <c r="C433" s="233"/>
      <c r="D433" s="233"/>
      <c r="E433" s="233"/>
      <c r="F433" s="233"/>
      <c r="G433" s="233"/>
      <c r="H433" s="233"/>
    </row>
    <row r="434">
      <c r="A434" s="233"/>
      <c r="B434" s="233"/>
      <c r="C434" s="233"/>
      <c r="D434" s="233"/>
      <c r="E434" s="233"/>
      <c r="F434" s="233"/>
      <c r="G434" s="233"/>
      <c r="H434" s="233"/>
    </row>
    <row r="435">
      <c r="A435" s="233"/>
      <c r="B435" s="233"/>
      <c r="C435" s="233"/>
      <c r="D435" s="233"/>
      <c r="E435" s="233"/>
      <c r="F435" s="233"/>
      <c r="G435" s="233"/>
      <c r="H435" s="233"/>
    </row>
    <row r="436">
      <c r="A436" s="233"/>
      <c r="B436" s="233"/>
      <c r="C436" s="233"/>
      <c r="D436" s="233"/>
      <c r="E436" s="233"/>
      <c r="F436" s="233"/>
      <c r="G436" s="233"/>
      <c r="H436" s="233"/>
    </row>
    <row r="437">
      <c r="A437" s="233"/>
      <c r="B437" s="233"/>
      <c r="C437" s="233"/>
      <c r="D437" s="233"/>
      <c r="E437" s="233"/>
      <c r="F437" s="233"/>
      <c r="G437" s="233"/>
      <c r="H437" s="233"/>
    </row>
    <row r="438">
      <c r="A438" s="233"/>
      <c r="B438" s="233"/>
      <c r="C438" s="233"/>
      <c r="D438" s="233"/>
      <c r="E438" s="233"/>
      <c r="F438" s="233"/>
      <c r="G438" s="233"/>
      <c r="H438" s="233"/>
    </row>
    <row r="439">
      <c r="A439" s="233"/>
      <c r="B439" s="233"/>
      <c r="C439" s="233"/>
      <c r="D439" s="233"/>
      <c r="E439" s="233"/>
      <c r="F439" s="233"/>
      <c r="G439" s="233"/>
      <c r="H439" s="233"/>
    </row>
    <row r="440">
      <c r="A440" s="233"/>
      <c r="B440" s="233"/>
      <c r="C440" s="233"/>
      <c r="D440" s="233"/>
      <c r="E440" s="233"/>
      <c r="F440" s="233"/>
      <c r="G440" s="233"/>
      <c r="H440" s="233"/>
    </row>
    <row r="441">
      <c r="A441" s="233"/>
      <c r="B441" s="233"/>
      <c r="C441" s="233"/>
      <c r="D441" s="233"/>
      <c r="E441" s="233"/>
      <c r="F441" s="233"/>
      <c r="G441" s="233"/>
      <c r="H441" s="233"/>
    </row>
    <row r="442">
      <c r="A442" s="233"/>
      <c r="B442" s="233"/>
      <c r="C442" s="233"/>
      <c r="D442" s="233"/>
      <c r="E442" s="233"/>
      <c r="F442" s="233"/>
      <c r="G442" s="233"/>
      <c r="H442" s="233"/>
    </row>
    <row r="443">
      <c r="A443" s="233"/>
      <c r="B443" s="233"/>
      <c r="C443" s="233"/>
      <c r="D443" s="233"/>
      <c r="E443" s="233"/>
      <c r="F443" s="233"/>
      <c r="G443" s="233"/>
      <c r="H443" s="233"/>
    </row>
    <row r="444">
      <c r="A444" s="233"/>
      <c r="B444" s="233"/>
      <c r="C444" s="233"/>
      <c r="D444" s="233"/>
      <c r="E444" s="233"/>
      <c r="F444" s="233"/>
      <c r="G444" s="233"/>
      <c r="H444" s="233"/>
    </row>
    <row r="445">
      <c r="A445" s="233"/>
      <c r="B445" s="233"/>
      <c r="C445" s="233"/>
      <c r="D445" s="233"/>
      <c r="E445" s="233"/>
      <c r="F445" s="233"/>
      <c r="G445" s="233"/>
      <c r="H445" s="233"/>
    </row>
    <row r="446">
      <c r="A446" s="233"/>
      <c r="B446" s="233"/>
      <c r="C446" s="233"/>
      <c r="D446" s="233"/>
      <c r="E446" s="233"/>
      <c r="F446" s="233"/>
      <c r="G446" s="233"/>
      <c r="H446" s="233"/>
    </row>
    <row r="447">
      <c r="A447" s="233"/>
      <c r="B447" s="233"/>
      <c r="C447" s="233"/>
      <c r="D447" s="233"/>
      <c r="E447" s="233"/>
      <c r="F447" s="233"/>
      <c r="G447" s="233"/>
      <c r="H447" s="233"/>
    </row>
    <row r="448">
      <c r="A448" s="233"/>
      <c r="B448" s="233"/>
      <c r="C448" s="233"/>
      <c r="D448" s="233"/>
      <c r="E448" s="233"/>
      <c r="F448" s="233"/>
      <c r="G448" s="233"/>
      <c r="H448" s="233"/>
    </row>
    <row r="449">
      <c r="A449" s="233"/>
      <c r="B449" s="233"/>
      <c r="C449" s="233"/>
      <c r="D449" s="233"/>
      <c r="E449" s="233"/>
      <c r="F449" s="233"/>
      <c r="G449" s="233"/>
      <c r="H449" s="233"/>
    </row>
    <row r="450">
      <c r="A450" s="233"/>
      <c r="B450" s="233"/>
      <c r="C450" s="233"/>
      <c r="D450" s="233"/>
      <c r="E450" s="233"/>
      <c r="F450" s="233"/>
      <c r="G450" s="233"/>
      <c r="H450" s="233"/>
    </row>
    <row r="451">
      <c r="A451" s="233"/>
      <c r="B451" s="233"/>
      <c r="C451" s="233"/>
      <c r="D451" s="233"/>
      <c r="E451" s="233"/>
      <c r="F451" s="233"/>
      <c r="G451" s="233"/>
      <c r="H451" s="233"/>
    </row>
    <row r="452">
      <c r="A452" s="233"/>
      <c r="B452" s="233"/>
      <c r="C452" s="233"/>
      <c r="D452" s="233"/>
      <c r="E452" s="233"/>
      <c r="F452" s="233"/>
      <c r="G452" s="233"/>
      <c r="H452" s="233"/>
    </row>
    <row r="453">
      <c r="A453" s="233"/>
      <c r="B453" s="233"/>
      <c r="C453" s="233"/>
      <c r="D453" s="233"/>
      <c r="E453" s="233"/>
      <c r="F453" s="233"/>
      <c r="G453" s="233"/>
      <c r="H453" s="233"/>
    </row>
    <row r="454">
      <c r="A454" s="233"/>
      <c r="B454" s="233"/>
      <c r="C454" s="233"/>
      <c r="D454" s="233"/>
      <c r="E454" s="233"/>
      <c r="F454" s="233"/>
      <c r="G454" s="233"/>
      <c r="H454" s="233"/>
    </row>
    <row r="455">
      <c r="A455" s="233"/>
      <c r="B455" s="233"/>
      <c r="C455" s="233"/>
      <c r="D455" s="233"/>
      <c r="E455" s="233"/>
      <c r="F455" s="233"/>
      <c r="G455" s="233"/>
      <c r="H455" s="233"/>
    </row>
    <row r="456">
      <c r="A456" s="233"/>
      <c r="B456" s="233"/>
      <c r="C456" s="233"/>
      <c r="D456" s="233"/>
      <c r="E456" s="233"/>
      <c r="F456" s="233"/>
      <c r="G456" s="233"/>
      <c r="H456" s="233"/>
    </row>
    <row r="457">
      <c r="A457" s="233"/>
      <c r="B457" s="233"/>
      <c r="C457" s="233"/>
      <c r="D457" s="233"/>
      <c r="E457" s="233"/>
      <c r="F457" s="233"/>
      <c r="G457" s="233"/>
      <c r="H457" s="233"/>
    </row>
    <row r="458">
      <c r="A458" s="233"/>
      <c r="B458" s="233"/>
      <c r="C458" s="233"/>
      <c r="D458" s="233"/>
      <c r="E458" s="233"/>
      <c r="F458" s="233"/>
      <c r="G458" s="233"/>
      <c r="H458" s="233"/>
    </row>
    <row r="459">
      <c r="A459" s="233"/>
      <c r="B459" s="233"/>
      <c r="C459" s="233"/>
      <c r="D459" s="233"/>
      <c r="E459" s="233"/>
      <c r="F459" s="233"/>
      <c r="G459" s="233"/>
      <c r="H459" s="233"/>
    </row>
    <row r="460">
      <c r="A460" s="233"/>
      <c r="B460" s="233"/>
      <c r="C460" s="233"/>
      <c r="D460" s="233"/>
      <c r="E460" s="233"/>
      <c r="F460" s="233"/>
      <c r="G460" s="233"/>
      <c r="H460" s="233"/>
    </row>
    <row r="461">
      <c r="A461" s="233"/>
      <c r="B461" s="233"/>
      <c r="C461" s="233"/>
      <c r="D461" s="233"/>
      <c r="E461" s="233"/>
      <c r="F461" s="233"/>
      <c r="G461" s="233"/>
      <c r="H461" s="233"/>
    </row>
    <row r="462">
      <c r="A462" s="233"/>
      <c r="B462" s="233"/>
      <c r="C462" s="233"/>
      <c r="D462" s="233"/>
      <c r="E462" s="233"/>
      <c r="F462" s="233"/>
      <c r="G462" s="233"/>
      <c r="H462" s="233"/>
    </row>
    <row r="463">
      <c r="A463" s="233"/>
      <c r="B463" s="233"/>
      <c r="C463" s="233"/>
      <c r="D463" s="233"/>
      <c r="E463" s="233"/>
      <c r="F463" s="233"/>
      <c r="G463" s="233"/>
      <c r="H463" s="233"/>
    </row>
    <row r="464">
      <c r="A464" s="233"/>
      <c r="B464" s="233"/>
      <c r="C464" s="233"/>
      <c r="D464" s="233"/>
      <c r="E464" s="233"/>
      <c r="F464" s="233"/>
      <c r="G464" s="233"/>
      <c r="H464" s="233"/>
    </row>
    <row r="465">
      <c r="A465" s="233"/>
      <c r="B465" s="233"/>
      <c r="C465" s="233"/>
      <c r="D465" s="233"/>
      <c r="E465" s="233"/>
      <c r="F465" s="233"/>
      <c r="G465" s="233"/>
      <c r="H465" s="233"/>
    </row>
    <row r="466">
      <c r="A466" s="233"/>
      <c r="B466" s="233"/>
      <c r="C466" s="233"/>
      <c r="D466" s="233"/>
      <c r="E466" s="233"/>
      <c r="F466" s="233"/>
      <c r="G466" s="233"/>
      <c r="H466" s="233"/>
    </row>
    <row r="467">
      <c r="A467" s="233"/>
      <c r="B467" s="233"/>
      <c r="C467" s="233"/>
      <c r="D467" s="233"/>
      <c r="E467" s="233"/>
      <c r="F467" s="233"/>
      <c r="G467" s="233"/>
      <c r="H467" s="233"/>
    </row>
    <row r="468">
      <c r="A468" s="233"/>
      <c r="B468" s="233"/>
      <c r="C468" s="233"/>
      <c r="D468" s="233"/>
      <c r="E468" s="233"/>
      <c r="F468" s="233"/>
      <c r="G468" s="233"/>
      <c r="H468" s="233"/>
    </row>
    <row r="469">
      <c r="A469" s="233"/>
      <c r="B469" s="233"/>
      <c r="C469" s="233"/>
      <c r="D469" s="233"/>
      <c r="E469" s="233"/>
      <c r="F469" s="233"/>
      <c r="G469" s="233"/>
      <c r="H469" s="233"/>
    </row>
    <row r="470">
      <c r="A470" s="233"/>
      <c r="B470" s="233"/>
      <c r="C470" s="233"/>
      <c r="D470" s="233"/>
      <c r="E470" s="233"/>
      <c r="F470" s="233"/>
      <c r="G470" s="233"/>
      <c r="H470" s="233"/>
    </row>
    <row r="471">
      <c r="A471" s="233"/>
      <c r="B471" s="233"/>
      <c r="C471" s="233"/>
      <c r="D471" s="233"/>
      <c r="E471" s="233"/>
      <c r="F471" s="233"/>
      <c r="G471" s="233"/>
      <c r="H471" s="233"/>
    </row>
    <row r="472">
      <c r="A472" s="233"/>
      <c r="B472" s="233"/>
      <c r="C472" s="233"/>
      <c r="D472" s="233"/>
      <c r="E472" s="233"/>
      <c r="F472" s="233"/>
      <c r="G472" s="233"/>
      <c r="H472" s="233"/>
    </row>
    <row r="473">
      <c r="A473" s="233"/>
      <c r="B473" s="233"/>
      <c r="C473" s="233"/>
      <c r="D473" s="233"/>
      <c r="E473" s="233"/>
      <c r="F473" s="233"/>
      <c r="G473" s="233"/>
      <c r="H473" s="233"/>
    </row>
    <row r="474">
      <c r="A474" s="233"/>
      <c r="B474" s="233"/>
      <c r="C474" s="233"/>
      <c r="D474" s="233"/>
      <c r="E474" s="233"/>
      <c r="F474" s="233"/>
      <c r="G474" s="233"/>
      <c r="H474" s="233"/>
    </row>
    <row r="475">
      <c r="A475" s="233"/>
      <c r="B475" s="233"/>
      <c r="C475" s="233"/>
      <c r="D475" s="233"/>
      <c r="E475" s="233"/>
      <c r="F475" s="233"/>
      <c r="G475" s="233"/>
      <c r="H475" s="233"/>
    </row>
    <row r="476">
      <c r="A476" s="233"/>
      <c r="B476" s="233"/>
      <c r="C476" s="233"/>
      <c r="D476" s="233"/>
      <c r="E476" s="233"/>
      <c r="F476" s="233"/>
      <c r="G476" s="233"/>
      <c r="H476" s="233"/>
    </row>
    <row r="477">
      <c r="A477" s="233"/>
      <c r="B477" s="233"/>
      <c r="C477" s="233"/>
      <c r="D477" s="233"/>
      <c r="E477" s="233"/>
      <c r="F477" s="233"/>
      <c r="G477" s="233"/>
      <c r="H477" s="233"/>
    </row>
    <row r="478">
      <c r="A478" s="233"/>
      <c r="B478" s="233"/>
      <c r="C478" s="233"/>
      <c r="D478" s="233"/>
      <c r="E478" s="233"/>
      <c r="F478" s="233"/>
      <c r="G478" s="233"/>
      <c r="H478" s="233"/>
    </row>
    <row r="479">
      <c r="A479" s="233"/>
      <c r="B479" s="233"/>
      <c r="C479" s="233"/>
      <c r="D479" s="233"/>
      <c r="E479" s="233"/>
      <c r="F479" s="233"/>
      <c r="G479" s="233"/>
      <c r="H479" s="233"/>
    </row>
    <row r="480">
      <c r="A480" s="233"/>
      <c r="B480" s="233"/>
      <c r="C480" s="233"/>
      <c r="D480" s="233"/>
      <c r="E480" s="233"/>
      <c r="F480" s="233"/>
      <c r="G480" s="233"/>
      <c r="H480" s="233"/>
    </row>
    <row r="481">
      <c r="A481" s="233"/>
      <c r="B481" s="233"/>
      <c r="C481" s="233"/>
      <c r="D481" s="233"/>
      <c r="E481" s="233"/>
      <c r="F481" s="233"/>
      <c r="G481" s="233"/>
      <c r="H481" s="233"/>
    </row>
    <row r="482">
      <c r="A482" s="233"/>
      <c r="B482" s="233"/>
      <c r="C482" s="233"/>
      <c r="D482" s="233"/>
      <c r="E482" s="233"/>
      <c r="F482" s="233"/>
      <c r="G482" s="233"/>
      <c r="H482" s="233"/>
    </row>
    <row r="483">
      <c r="A483" s="233"/>
      <c r="B483" s="233"/>
      <c r="C483" s="233"/>
      <c r="D483" s="233"/>
      <c r="E483" s="233"/>
      <c r="F483" s="233"/>
      <c r="G483" s="233"/>
      <c r="H483" s="233"/>
    </row>
    <row r="484">
      <c r="A484" s="233"/>
      <c r="B484" s="233"/>
      <c r="C484" s="233"/>
      <c r="D484" s="233"/>
      <c r="E484" s="233"/>
      <c r="F484" s="233"/>
      <c r="G484" s="233"/>
      <c r="H484" s="233"/>
    </row>
    <row r="485">
      <c r="A485" s="233"/>
      <c r="B485" s="233"/>
      <c r="C485" s="233"/>
      <c r="D485" s="233"/>
      <c r="E485" s="233"/>
      <c r="F485" s="233"/>
      <c r="G485" s="233"/>
      <c r="H485" s="233"/>
    </row>
    <row r="486">
      <c r="A486" s="233"/>
      <c r="B486" s="233"/>
      <c r="C486" s="233"/>
      <c r="D486" s="233"/>
      <c r="E486" s="233"/>
      <c r="F486" s="233"/>
      <c r="G486" s="233"/>
      <c r="H486" s="233"/>
    </row>
    <row r="487">
      <c r="A487" s="233"/>
      <c r="B487" s="233"/>
      <c r="C487" s="233"/>
      <c r="D487" s="233"/>
      <c r="E487" s="233"/>
      <c r="F487" s="233"/>
      <c r="G487" s="233"/>
      <c r="H487" s="233"/>
    </row>
    <row r="488">
      <c r="A488" s="233"/>
      <c r="B488" s="233"/>
      <c r="C488" s="233"/>
      <c r="D488" s="233"/>
      <c r="E488" s="233"/>
      <c r="F488" s="233"/>
      <c r="G488" s="233"/>
      <c r="H488" s="233"/>
    </row>
    <row r="489">
      <c r="A489" s="233"/>
      <c r="B489" s="233"/>
      <c r="C489" s="233"/>
      <c r="D489" s="233"/>
      <c r="E489" s="233"/>
      <c r="F489" s="233"/>
      <c r="G489" s="233"/>
      <c r="H489" s="233"/>
    </row>
    <row r="490">
      <c r="A490" s="233"/>
      <c r="B490" s="233"/>
      <c r="C490" s="233"/>
      <c r="D490" s="233"/>
      <c r="E490" s="233"/>
      <c r="F490" s="233"/>
      <c r="G490" s="233"/>
      <c r="H490" s="233"/>
    </row>
    <row r="491">
      <c r="A491" s="233"/>
      <c r="B491" s="233"/>
      <c r="C491" s="233"/>
      <c r="D491" s="233"/>
      <c r="E491" s="233"/>
      <c r="F491" s="233"/>
      <c r="G491" s="233"/>
      <c r="H491" s="233"/>
    </row>
    <row r="492">
      <c r="A492" s="233"/>
      <c r="B492" s="233"/>
      <c r="C492" s="233"/>
      <c r="D492" s="233"/>
      <c r="E492" s="233"/>
      <c r="F492" s="233"/>
      <c r="G492" s="233"/>
      <c r="H492" s="233"/>
    </row>
    <row r="493">
      <c r="A493" s="233"/>
      <c r="B493" s="233"/>
      <c r="C493" s="233"/>
      <c r="D493" s="233"/>
      <c r="E493" s="233"/>
      <c r="F493" s="233"/>
      <c r="G493" s="233"/>
      <c r="H493" s="233"/>
    </row>
    <row r="494">
      <c r="A494" s="233"/>
      <c r="B494" s="233"/>
      <c r="C494" s="233"/>
      <c r="D494" s="233"/>
      <c r="E494" s="233"/>
      <c r="F494" s="233"/>
      <c r="G494" s="233"/>
      <c r="H494" s="233"/>
    </row>
    <row r="495">
      <c r="A495" s="233"/>
      <c r="B495" s="233"/>
      <c r="C495" s="233"/>
      <c r="D495" s="233"/>
      <c r="E495" s="233"/>
      <c r="F495" s="233"/>
      <c r="G495" s="233"/>
      <c r="H495" s="233"/>
    </row>
    <row r="496">
      <c r="A496" s="233"/>
      <c r="B496" s="233"/>
      <c r="C496" s="233"/>
      <c r="D496" s="233"/>
      <c r="E496" s="233"/>
      <c r="F496" s="233"/>
      <c r="G496" s="233"/>
      <c r="H496" s="233"/>
    </row>
    <row r="497">
      <c r="A497" s="233"/>
      <c r="B497" s="233"/>
      <c r="C497" s="233"/>
      <c r="D497" s="233"/>
      <c r="E497" s="233"/>
      <c r="F497" s="233"/>
      <c r="G497" s="233"/>
      <c r="H497" s="233"/>
    </row>
    <row r="498">
      <c r="A498" s="233"/>
      <c r="B498" s="233"/>
      <c r="C498" s="233"/>
      <c r="D498" s="233"/>
      <c r="E498" s="233"/>
      <c r="F498" s="233"/>
      <c r="G498" s="233"/>
      <c r="H498" s="233"/>
    </row>
    <row r="499">
      <c r="A499" s="233"/>
      <c r="B499" s="233"/>
      <c r="C499" s="233"/>
      <c r="D499" s="233"/>
      <c r="E499" s="233"/>
      <c r="F499" s="233"/>
      <c r="G499" s="233"/>
      <c r="H499" s="233"/>
    </row>
    <row r="500">
      <c r="A500" s="233"/>
      <c r="B500" s="233"/>
      <c r="C500" s="233"/>
      <c r="D500" s="233"/>
      <c r="E500" s="233"/>
      <c r="F500" s="233"/>
      <c r="G500" s="233"/>
      <c r="H500" s="233"/>
    </row>
    <row r="501">
      <c r="A501" s="233"/>
      <c r="B501" s="233"/>
      <c r="C501" s="233"/>
      <c r="D501" s="233"/>
      <c r="E501" s="233"/>
      <c r="F501" s="233"/>
      <c r="G501" s="233"/>
      <c r="H501" s="233"/>
    </row>
    <row r="502">
      <c r="A502" s="233"/>
      <c r="B502" s="233"/>
      <c r="C502" s="233"/>
      <c r="D502" s="233"/>
      <c r="E502" s="233"/>
      <c r="F502" s="233"/>
      <c r="G502" s="233"/>
      <c r="H502" s="233"/>
    </row>
    <row r="503">
      <c r="A503" s="233"/>
      <c r="B503" s="233"/>
      <c r="C503" s="233"/>
      <c r="D503" s="233"/>
      <c r="E503" s="233"/>
      <c r="F503" s="233"/>
      <c r="G503" s="233"/>
      <c r="H503" s="233"/>
    </row>
    <row r="504">
      <c r="A504" s="233"/>
      <c r="B504" s="233"/>
      <c r="C504" s="233"/>
      <c r="D504" s="233"/>
      <c r="E504" s="233"/>
      <c r="F504" s="233"/>
      <c r="G504" s="233"/>
      <c r="H504" s="233"/>
    </row>
    <row r="505">
      <c r="A505" s="233"/>
      <c r="B505" s="233"/>
      <c r="C505" s="233"/>
      <c r="D505" s="233"/>
      <c r="E505" s="233"/>
      <c r="F505" s="233"/>
      <c r="G505" s="233"/>
      <c r="H505" s="233"/>
    </row>
    <row r="506">
      <c r="A506" s="233"/>
      <c r="B506" s="233"/>
      <c r="C506" s="233"/>
      <c r="D506" s="233"/>
      <c r="E506" s="233"/>
      <c r="F506" s="233"/>
      <c r="G506" s="233"/>
      <c r="H506" s="233"/>
    </row>
    <row r="507">
      <c r="A507" s="233"/>
      <c r="B507" s="233"/>
      <c r="C507" s="233"/>
      <c r="D507" s="233"/>
      <c r="E507" s="233"/>
      <c r="F507" s="233"/>
      <c r="G507" s="233"/>
      <c r="H507" s="233"/>
    </row>
    <row r="508">
      <c r="A508" s="233"/>
      <c r="B508" s="233"/>
      <c r="C508" s="233"/>
      <c r="D508" s="233"/>
      <c r="E508" s="233"/>
      <c r="F508" s="233"/>
      <c r="G508" s="233"/>
      <c r="H508" s="233"/>
    </row>
    <row r="509">
      <c r="A509" s="233"/>
      <c r="B509" s="233"/>
      <c r="C509" s="233"/>
      <c r="D509" s="233"/>
      <c r="E509" s="233"/>
      <c r="F509" s="233"/>
      <c r="G509" s="233"/>
      <c r="H509" s="233"/>
    </row>
    <row r="510">
      <c r="A510" s="233"/>
      <c r="B510" s="233"/>
      <c r="C510" s="233"/>
      <c r="D510" s="233"/>
      <c r="E510" s="233"/>
      <c r="F510" s="233"/>
      <c r="G510" s="233"/>
      <c r="H510" s="233"/>
    </row>
    <row r="511">
      <c r="A511" s="233"/>
      <c r="B511" s="233"/>
      <c r="C511" s="233"/>
      <c r="D511" s="233"/>
      <c r="E511" s="233"/>
      <c r="F511" s="233"/>
      <c r="G511" s="233"/>
      <c r="H511" s="233"/>
    </row>
    <row r="512">
      <c r="A512" s="233"/>
      <c r="B512" s="233"/>
      <c r="C512" s="233"/>
      <c r="D512" s="233"/>
      <c r="E512" s="233"/>
      <c r="F512" s="233"/>
      <c r="G512" s="233"/>
      <c r="H512" s="233"/>
    </row>
    <row r="513">
      <c r="A513" s="233"/>
      <c r="B513" s="233"/>
      <c r="C513" s="233"/>
      <c r="D513" s="233"/>
      <c r="E513" s="233"/>
      <c r="F513" s="233"/>
      <c r="G513" s="233"/>
      <c r="H513" s="233"/>
    </row>
    <row r="514">
      <c r="A514" s="233"/>
      <c r="B514" s="233"/>
      <c r="C514" s="233"/>
      <c r="D514" s="233"/>
      <c r="E514" s="233"/>
      <c r="F514" s="233"/>
      <c r="G514" s="233"/>
      <c r="H514" s="233"/>
    </row>
    <row r="515">
      <c r="A515" s="233"/>
      <c r="B515" s="233"/>
      <c r="C515" s="233"/>
      <c r="D515" s="233"/>
      <c r="E515" s="233"/>
      <c r="F515" s="233"/>
      <c r="G515" s="233"/>
      <c r="H515" s="233"/>
    </row>
    <row r="516">
      <c r="A516" s="233"/>
      <c r="B516" s="233"/>
      <c r="C516" s="233"/>
      <c r="D516" s="233"/>
      <c r="E516" s="233"/>
      <c r="F516" s="233"/>
      <c r="G516" s="233"/>
      <c r="H516" s="233"/>
    </row>
    <row r="517">
      <c r="A517" s="233"/>
      <c r="B517" s="233"/>
      <c r="C517" s="233"/>
      <c r="D517" s="233"/>
      <c r="E517" s="233"/>
      <c r="F517" s="233"/>
      <c r="G517" s="233"/>
      <c r="H517" s="233"/>
    </row>
    <row r="518">
      <c r="A518" s="233"/>
      <c r="B518" s="233"/>
      <c r="C518" s="233"/>
      <c r="D518" s="233"/>
      <c r="E518" s="233"/>
      <c r="F518" s="233"/>
      <c r="G518" s="233"/>
      <c r="H518" s="233"/>
    </row>
    <row r="519">
      <c r="A519" s="233"/>
      <c r="B519" s="233"/>
      <c r="C519" s="233"/>
      <c r="D519" s="233"/>
      <c r="E519" s="233"/>
      <c r="F519" s="233"/>
      <c r="G519" s="233"/>
      <c r="H519" s="233"/>
    </row>
    <row r="520">
      <c r="A520" s="233"/>
      <c r="B520" s="233"/>
      <c r="C520" s="233"/>
      <c r="D520" s="233"/>
      <c r="E520" s="233"/>
      <c r="F520" s="233"/>
      <c r="G520" s="233"/>
      <c r="H520" s="233"/>
    </row>
    <row r="521">
      <c r="A521" s="233"/>
      <c r="B521" s="233"/>
      <c r="C521" s="233"/>
      <c r="D521" s="233"/>
      <c r="E521" s="233"/>
      <c r="F521" s="233"/>
      <c r="G521" s="233"/>
      <c r="H521" s="233"/>
    </row>
    <row r="522">
      <c r="A522" s="233"/>
      <c r="B522" s="233"/>
      <c r="C522" s="233"/>
      <c r="D522" s="233"/>
      <c r="E522" s="233"/>
      <c r="F522" s="233"/>
      <c r="G522" s="233"/>
      <c r="H522" s="233"/>
    </row>
    <row r="523">
      <c r="A523" s="233"/>
      <c r="B523" s="233"/>
      <c r="C523" s="233"/>
      <c r="D523" s="233"/>
      <c r="E523" s="233"/>
      <c r="F523" s="233"/>
      <c r="G523" s="233"/>
      <c r="H523" s="233"/>
    </row>
    <row r="524">
      <c r="A524" s="233"/>
      <c r="B524" s="233"/>
      <c r="C524" s="233"/>
      <c r="D524" s="233"/>
      <c r="E524" s="233"/>
      <c r="F524" s="233"/>
      <c r="G524" s="233"/>
      <c r="H524" s="233"/>
    </row>
    <row r="525">
      <c r="A525" s="233"/>
      <c r="B525" s="233"/>
      <c r="C525" s="233"/>
      <c r="D525" s="233"/>
      <c r="E525" s="233"/>
      <c r="F525" s="233"/>
      <c r="G525" s="233"/>
      <c r="H525" s="233"/>
    </row>
    <row r="526">
      <c r="A526" s="233"/>
      <c r="B526" s="233"/>
      <c r="C526" s="233"/>
      <c r="D526" s="233"/>
      <c r="E526" s="233"/>
      <c r="F526" s="233"/>
      <c r="G526" s="233"/>
      <c r="H526" s="233"/>
    </row>
    <row r="527">
      <c r="A527" s="233"/>
      <c r="B527" s="233"/>
      <c r="C527" s="233"/>
      <c r="D527" s="233"/>
      <c r="E527" s="233"/>
      <c r="F527" s="233"/>
      <c r="G527" s="233"/>
      <c r="H527" s="233"/>
    </row>
    <row r="528">
      <c r="A528" s="233"/>
      <c r="B528" s="233"/>
      <c r="C528" s="233"/>
      <c r="D528" s="233"/>
      <c r="E528" s="233"/>
      <c r="F528" s="233"/>
      <c r="G528" s="233"/>
      <c r="H528" s="233"/>
    </row>
    <row r="529">
      <c r="A529" s="233"/>
      <c r="B529" s="233"/>
      <c r="C529" s="233"/>
      <c r="D529" s="233"/>
      <c r="E529" s="233"/>
      <c r="F529" s="233"/>
      <c r="G529" s="233"/>
      <c r="H529" s="233"/>
    </row>
    <row r="530">
      <c r="A530" s="233"/>
      <c r="B530" s="233"/>
      <c r="C530" s="233"/>
      <c r="D530" s="233"/>
      <c r="E530" s="233"/>
      <c r="F530" s="233"/>
      <c r="G530" s="233"/>
      <c r="H530" s="233"/>
    </row>
    <row r="531">
      <c r="A531" s="233"/>
      <c r="B531" s="233"/>
      <c r="C531" s="233"/>
      <c r="D531" s="233"/>
      <c r="E531" s="233"/>
      <c r="F531" s="233"/>
      <c r="G531" s="233"/>
      <c r="H531" s="233"/>
    </row>
    <row r="532">
      <c r="A532" s="233"/>
      <c r="B532" s="233"/>
      <c r="C532" s="233"/>
      <c r="D532" s="233"/>
      <c r="E532" s="233"/>
      <c r="F532" s="233"/>
      <c r="G532" s="233"/>
      <c r="H532" s="233"/>
    </row>
    <row r="533">
      <c r="A533" s="233"/>
      <c r="B533" s="233"/>
      <c r="C533" s="233"/>
      <c r="D533" s="233"/>
      <c r="E533" s="233"/>
      <c r="F533" s="233"/>
      <c r="G533" s="233"/>
      <c r="H533" s="233"/>
    </row>
    <row r="534">
      <c r="A534" s="233"/>
      <c r="B534" s="233"/>
      <c r="C534" s="233"/>
      <c r="D534" s="233"/>
      <c r="E534" s="233"/>
      <c r="F534" s="233"/>
      <c r="G534" s="233"/>
      <c r="H534" s="233"/>
    </row>
    <row r="535">
      <c r="A535" s="233"/>
      <c r="B535" s="233"/>
      <c r="C535" s="233"/>
      <c r="D535" s="233"/>
      <c r="E535" s="233"/>
      <c r="F535" s="233"/>
      <c r="G535" s="233"/>
      <c r="H535" s="233"/>
    </row>
    <row r="536">
      <c r="A536" s="233"/>
      <c r="B536" s="233"/>
      <c r="C536" s="233"/>
      <c r="D536" s="233"/>
      <c r="E536" s="233"/>
      <c r="F536" s="233"/>
      <c r="G536" s="233"/>
      <c r="H536" s="233"/>
    </row>
    <row r="537">
      <c r="A537" s="233"/>
      <c r="B537" s="233"/>
      <c r="C537" s="233"/>
      <c r="D537" s="233"/>
      <c r="E537" s="233"/>
      <c r="F537" s="233"/>
      <c r="G537" s="233"/>
      <c r="H537" s="233"/>
    </row>
    <row r="538">
      <c r="A538" s="233"/>
      <c r="B538" s="233"/>
      <c r="C538" s="233"/>
      <c r="D538" s="233"/>
      <c r="E538" s="233"/>
      <c r="F538" s="233"/>
      <c r="G538" s="233"/>
      <c r="H538" s="233"/>
    </row>
    <row r="539">
      <c r="A539" s="233"/>
      <c r="B539" s="233"/>
      <c r="C539" s="233"/>
      <c r="D539" s="233"/>
      <c r="E539" s="233"/>
      <c r="F539" s="233"/>
      <c r="G539" s="233"/>
      <c r="H539" s="233"/>
    </row>
    <row r="540">
      <c r="A540" s="233"/>
      <c r="B540" s="233"/>
      <c r="C540" s="233"/>
      <c r="D540" s="233"/>
      <c r="E540" s="233"/>
      <c r="F540" s="233"/>
      <c r="G540" s="233"/>
      <c r="H540" s="233"/>
    </row>
    <row r="541">
      <c r="A541" s="233"/>
      <c r="B541" s="233"/>
      <c r="C541" s="233"/>
      <c r="D541" s="233"/>
      <c r="E541" s="233"/>
      <c r="F541" s="233"/>
      <c r="G541" s="233"/>
      <c r="H541" s="233"/>
    </row>
    <row r="542">
      <c r="A542" s="233"/>
      <c r="B542" s="233"/>
      <c r="C542" s="233"/>
      <c r="D542" s="233"/>
      <c r="E542" s="233"/>
      <c r="F542" s="233"/>
      <c r="G542" s="233"/>
      <c r="H542" s="233"/>
    </row>
    <row r="543">
      <c r="A543" s="233"/>
      <c r="B543" s="233"/>
      <c r="C543" s="233"/>
      <c r="D543" s="233"/>
      <c r="E543" s="233"/>
      <c r="F543" s="233"/>
      <c r="G543" s="233"/>
      <c r="H543" s="233"/>
    </row>
    <row r="544">
      <c r="A544" s="233"/>
      <c r="B544" s="233"/>
      <c r="C544" s="233"/>
      <c r="D544" s="233"/>
      <c r="E544" s="233"/>
      <c r="F544" s="233"/>
      <c r="G544" s="233"/>
      <c r="H544" s="233"/>
    </row>
    <row r="545">
      <c r="A545" s="233"/>
      <c r="B545" s="233"/>
      <c r="C545" s="233"/>
      <c r="D545" s="233"/>
      <c r="E545" s="233"/>
      <c r="F545" s="233"/>
      <c r="G545" s="233"/>
      <c r="H545" s="233"/>
    </row>
    <row r="546">
      <c r="A546" s="233"/>
      <c r="B546" s="233"/>
      <c r="C546" s="233"/>
      <c r="D546" s="233"/>
      <c r="E546" s="233"/>
      <c r="F546" s="233"/>
      <c r="G546" s="233"/>
      <c r="H546" s="233"/>
    </row>
    <row r="547">
      <c r="A547" s="233"/>
      <c r="B547" s="233"/>
      <c r="C547" s="233"/>
      <c r="D547" s="233"/>
      <c r="E547" s="233"/>
      <c r="F547" s="233"/>
      <c r="G547" s="233"/>
      <c r="H547" s="233"/>
    </row>
    <row r="548">
      <c r="A548" s="233"/>
      <c r="B548" s="233"/>
      <c r="C548" s="233"/>
      <c r="D548" s="233"/>
      <c r="E548" s="233"/>
      <c r="F548" s="233"/>
      <c r="G548" s="233"/>
      <c r="H548" s="233"/>
    </row>
    <row r="549">
      <c r="A549" s="233"/>
      <c r="B549" s="233"/>
      <c r="C549" s="233"/>
      <c r="D549" s="233"/>
      <c r="E549" s="233"/>
      <c r="F549" s="233"/>
      <c r="G549" s="233"/>
      <c r="H549" s="233"/>
    </row>
    <row r="550">
      <c r="A550" s="233"/>
      <c r="B550" s="233"/>
      <c r="C550" s="233"/>
      <c r="D550" s="233"/>
      <c r="E550" s="233"/>
      <c r="F550" s="233"/>
      <c r="G550" s="233"/>
      <c r="H550" s="233"/>
    </row>
    <row r="551">
      <c r="A551" s="233"/>
      <c r="B551" s="233"/>
      <c r="C551" s="233"/>
      <c r="D551" s="233"/>
      <c r="E551" s="233"/>
      <c r="F551" s="233"/>
      <c r="G551" s="233"/>
      <c r="H551" s="233"/>
    </row>
    <row r="552">
      <c r="A552" s="233"/>
      <c r="B552" s="233"/>
      <c r="C552" s="233"/>
      <c r="D552" s="233"/>
      <c r="E552" s="233"/>
      <c r="F552" s="233"/>
      <c r="G552" s="233"/>
      <c r="H552" s="233"/>
    </row>
    <row r="553">
      <c r="A553" s="233"/>
      <c r="B553" s="233"/>
      <c r="C553" s="233"/>
      <c r="D553" s="233"/>
      <c r="E553" s="233"/>
      <c r="F553" s="233"/>
      <c r="G553" s="233"/>
      <c r="H553" s="233"/>
    </row>
    <row r="554">
      <c r="A554" s="233"/>
      <c r="B554" s="233"/>
      <c r="C554" s="233"/>
      <c r="D554" s="233"/>
      <c r="E554" s="233"/>
      <c r="F554" s="233"/>
      <c r="G554" s="233"/>
      <c r="H554" s="233"/>
    </row>
    <row r="555">
      <c r="A555" s="233"/>
      <c r="B555" s="233"/>
      <c r="C555" s="233"/>
      <c r="D555" s="233"/>
      <c r="E555" s="233"/>
      <c r="F555" s="233"/>
      <c r="G555" s="233"/>
      <c r="H555" s="233"/>
    </row>
    <row r="556">
      <c r="A556" s="233"/>
      <c r="B556" s="233"/>
      <c r="C556" s="233"/>
      <c r="D556" s="233"/>
      <c r="E556" s="233"/>
      <c r="F556" s="233"/>
      <c r="G556" s="233"/>
      <c r="H556" s="233"/>
    </row>
    <row r="557">
      <c r="A557" s="233"/>
      <c r="B557" s="233"/>
      <c r="C557" s="233"/>
      <c r="D557" s="233"/>
      <c r="E557" s="233"/>
      <c r="F557" s="233"/>
      <c r="G557" s="233"/>
      <c r="H557" s="233"/>
    </row>
    <row r="558">
      <c r="A558" s="233"/>
      <c r="B558" s="233"/>
      <c r="C558" s="233"/>
      <c r="D558" s="233"/>
      <c r="E558" s="233"/>
      <c r="F558" s="233"/>
      <c r="G558" s="233"/>
      <c r="H558" s="233"/>
    </row>
    <row r="559">
      <c r="A559" s="233"/>
      <c r="B559" s="233"/>
      <c r="C559" s="233"/>
      <c r="D559" s="233"/>
      <c r="E559" s="233"/>
      <c r="F559" s="233"/>
      <c r="G559" s="233"/>
      <c r="H559" s="233"/>
    </row>
    <row r="560">
      <c r="A560" s="233"/>
      <c r="B560" s="233"/>
      <c r="C560" s="233"/>
      <c r="D560" s="233"/>
      <c r="E560" s="233"/>
      <c r="F560" s="233"/>
      <c r="G560" s="233"/>
      <c r="H560" s="233"/>
    </row>
    <row r="561">
      <c r="A561" s="233"/>
      <c r="B561" s="233"/>
      <c r="C561" s="233"/>
      <c r="D561" s="233"/>
      <c r="E561" s="233"/>
      <c r="F561" s="233"/>
      <c r="G561" s="233"/>
      <c r="H561" s="233"/>
    </row>
    <row r="562">
      <c r="A562" s="233"/>
      <c r="B562" s="233"/>
      <c r="C562" s="233"/>
      <c r="D562" s="233"/>
      <c r="E562" s="233"/>
      <c r="F562" s="233"/>
      <c r="G562" s="233"/>
      <c r="H562" s="233"/>
    </row>
    <row r="563">
      <c r="A563" s="233"/>
      <c r="B563" s="233"/>
      <c r="C563" s="233"/>
      <c r="D563" s="233"/>
      <c r="E563" s="233"/>
      <c r="F563" s="233"/>
      <c r="G563" s="233"/>
      <c r="H563" s="233"/>
    </row>
    <row r="564">
      <c r="A564" s="233"/>
      <c r="B564" s="233"/>
      <c r="C564" s="233"/>
      <c r="D564" s="233"/>
      <c r="E564" s="233"/>
      <c r="F564" s="233"/>
      <c r="G564" s="233"/>
      <c r="H564" s="233"/>
    </row>
    <row r="565">
      <c r="A565" s="233"/>
      <c r="B565" s="233"/>
      <c r="C565" s="233"/>
      <c r="D565" s="233"/>
      <c r="E565" s="233"/>
      <c r="F565" s="233"/>
      <c r="G565" s="233"/>
      <c r="H565" s="233"/>
    </row>
    <row r="566">
      <c r="A566" s="233"/>
      <c r="B566" s="233"/>
      <c r="C566" s="233"/>
      <c r="D566" s="233"/>
      <c r="E566" s="233"/>
      <c r="F566" s="233"/>
      <c r="G566" s="233"/>
      <c r="H566" s="233"/>
    </row>
    <row r="567">
      <c r="A567" s="233"/>
      <c r="B567" s="233"/>
      <c r="C567" s="233"/>
      <c r="D567" s="233"/>
      <c r="E567" s="233"/>
      <c r="F567" s="233"/>
      <c r="G567" s="233"/>
      <c r="H567" s="233"/>
    </row>
    <row r="568">
      <c r="A568" s="233"/>
      <c r="B568" s="233"/>
      <c r="C568" s="233"/>
      <c r="D568" s="233"/>
      <c r="E568" s="233"/>
      <c r="F568" s="233"/>
      <c r="G568" s="233"/>
      <c r="H568" s="233"/>
    </row>
    <row r="569">
      <c r="A569" s="233"/>
      <c r="B569" s="233"/>
      <c r="C569" s="233"/>
      <c r="D569" s="233"/>
      <c r="E569" s="233"/>
      <c r="F569" s="233"/>
      <c r="G569" s="233"/>
      <c r="H569" s="233"/>
    </row>
    <row r="570">
      <c r="A570" s="233"/>
      <c r="B570" s="233"/>
      <c r="C570" s="233"/>
      <c r="D570" s="233"/>
      <c r="E570" s="233"/>
      <c r="F570" s="233"/>
      <c r="G570" s="233"/>
      <c r="H570" s="233"/>
    </row>
    <row r="571">
      <c r="A571" s="233"/>
      <c r="B571" s="233"/>
      <c r="C571" s="233"/>
      <c r="D571" s="233"/>
      <c r="E571" s="233"/>
      <c r="F571" s="233"/>
      <c r="G571" s="233"/>
      <c r="H571" s="233"/>
    </row>
    <row r="572">
      <c r="A572" s="233"/>
      <c r="B572" s="233"/>
      <c r="C572" s="233"/>
      <c r="D572" s="233"/>
      <c r="E572" s="233"/>
      <c r="F572" s="233"/>
      <c r="G572" s="233"/>
      <c r="H572" s="233"/>
    </row>
    <row r="573">
      <c r="A573" s="233"/>
      <c r="B573" s="233"/>
      <c r="C573" s="233"/>
      <c r="D573" s="233"/>
      <c r="E573" s="233"/>
      <c r="F573" s="233"/>
      <c r="G573" s="233"/>
      <c r="H573" s="233"/>
    </row>
    <row r="574">
      <c r="A574" s="233"/>
      <c r="B574" s="233"/>
      <c r="C574" s="233"/>
      <c r="D574" s="233"/>
      <c r="E574" s="233"/>
      <c r="F574" s="233"/>
      <c r="G574" s="233"/>
      <c r="H574" s="233"/>
    </row>
    <row r="575">
      <c r="A575" s="233"/>
      <c r="B575" s="233"/>
      <c r="C575" s="233"/>
      <c r="D575" s="233"/>
      <c r="E575" s="233"/>
      <c r="F575" s="233"/>
      <c r="G575" s="233"/>
      <c r="H575" s="233"/>
    </row>
    <row r="576">
      <c r="A576" s="233"/>
      <c r="B576" s="233"/>
      <c r="C576" s="233"/>
      <c r="D576" s="233"/>
      <c r="E576" s="233"/>
      <c r="F576" s="233"/>
      <c r="G576" s="233"/>
      <c r="H576" s="233"/>
    </row>
    <row r="577">
      <c r="A577" s="233"/>
      <c r="B577" s="233"/>
      <c r="C577" s="233"/>
      <c r="D577" s="233"/>
      <c r="E577" s="233"/>
      <c r="F577" s="233"/>
      <c r="G577" s="233"/>
      <c r="H577" s="233"/>
    </row>
    <row r="578">
      <c r="A578" s="233"/>
      <c r="B578" s="233"/>
      <c r="C578" s="233"/>
      <c r="D578" s="233"/>
      <c r="E578" s="233"/>
      <c r="F578" s="233"/>
      <c r="G578" s="233"/>
      <c r="H578" s="233"/>
    </row>
    <row r="579">
      <c r="A579" s="233"/>
      <c r="B579" s="233"/>
      <c r="C579" s="233"/>
      <c r="D579" s="233"/>
      <c r="E579" s="233"/>
      <c r="F579" s="233"/>
      <c r="G579" s="233"/>
      <c r="H579" s="233"/>
    </row>
    <row r="580">
      <c r="A580" s="233"/>
      <c r="B580" s="233"/>
      <c r="C580" s="233"/>
      <c r="D580" s="233"/>
      <c r="E580" s="233"/>
      <c r="F580" s="233"/>
      <c r="G580" s="233"/>
      <c r="H580" s="233"/>
    </row>
    <row r="581">
      <c r="A581" s="233"/>
      <c r="B581" s="233"/>
      <c r="C581" s="233"/>
      <c r="D581" s="233"/>
      <c r="E581" s="233"/>
      <c r="F581" s="233"/>
      <c r="G581" s="233"/>
      <c r="H581" s="233"/>
    </row>
    <row r="582">
      <c r="A582" s="233"/>
      <c r="B582" s="233"/>
      <c r="C582" s="233"/>
      <c r="D582" s="233"/>
      <c r="E582" s="233"/>
      <c r="F582" s="233"/>
      <c r="G582" s="233"/>
      <c r="H582" s="233"/>
    </row>
    <row r="583">
      <c r="A583" s="233"/>
      <c r="B583" s="233"/>
      <c r="C583" s="233"/>
      <c r="D583" s="233"/>
      <c r="E583" s="233"/>
      <c r="F583" s="233"/>
      <c r="G583" s="233"/>
      <c r="H583" s="233"/>
    </row>
    <row r="584">
      <c r="A584" s="233"/>
      <c r="B584" s="233"/>
      <c r="C584" s="233"/>
      <c r="D584" s="233"/>
      <c r="E584" s="233"/>
      <c r="F584" s="233"/>
      <c r="G584" s="233"/>
      <c r="H584" s="233"/>
    </row>
    <row r="585">
      <c r="A585" s="233"/>
      <c r="B585" s="233"/>
      <c r="C585" s="233"/>
      <c r="D585" s="233"/>
      <c r="E585" s="233"/>
      <c r="F585" s="233"/>
      <c r="G585" s="233"/>
      <c r="H585" s="233"/>
    </row>
    <row r="586">
      <c r="A586" s="233"/>
      <c r="B586" s="233"/>
      <c r="C586" s="233"/>
      <c r="D586" s="233"/>
      <c r="E586" s="233"/>
      <c r="F586" s="233"/>
      <c r="G586" s="233"/>
      <c r="H586" s="233"/>
    </row>
    <row r="587">
      <c r="A587" s="233"/>
      <c r="B587" s="233"/>
      <c r="C587" s="233"/>
      <c r="D587" s="233"/>
      <c r="E587" s="233"/>
      <c r="F587" s="233"/>
      <c r="G587" s="233"/>
      <c r="H587" s="233"/>
    </row>
    <row r="588">
      <c r="A588" s="233"/>
      <c r="B588" s="233"/>
      <c r="C588" s="233"/>
      <c r="D588" s="233"/>
      <c r="E588" s="233"/>
      <c r="F588" s="233"/>
      <c r="G588" s="233"/>
      <c r="H588" s="233"/>
    </row>
    <row r="589">
      <c r="A589" s="233"/>
      <c r="B589" s="233"/>
      <c r="C589" s="233"/>
      <c r="D589" s="233"/>
      <c r="E589" s="233"/>
      <c r="F589" s="233"/>
      <c r="G589" s="233"/>
      <c r="H589" s="233"/>
    </row>
    <row r="590">
      <c r="A590" s="233"/>
      <c r="B590" s="233"/>
      <c r="C590" s="233"/>
      <c r="D590" s="233"/>
      <c r="E590" s="233"/>
      <c r="F590" s="233"/>
      <c r="G590" s="233"/>
      <c r="H590" s="233"/>
    </row>
    <row r="591">
      <c r="A591" s="233"/>
      <c r="B591" s="233"/>
      <c r="C591" s="233"/>
      <c r="D591" s="233"/>
      <c r="E591" s="233"/>
      <c r="F591" s="233"/>
      <c r="G591" s="233"/>
      <c r="H591" s="233"/>
    </row>
    <row r="592">
      <c r="A592" s="233"/>
      <c r="B592" s="233"/>
      <c r="C592" s="233"/>
      <c r="D592" s="233"/>
      <c r="E592" s="233"/>
      <c r="F592" s="233"/>
      <c r="G592" s="233"/>
      <c r="H592" s="233"/>
    </row>
    <row r="593">
      <c r="A593" s="233"/>
      <c r="B593" s="233"/>
      <c r="C593" s="233"/>
      <c r="D593" s="233"/>
      <c r="E593" s="233"/>
      <c r="F593" s="233"/>
      <c r="G593" s="233"/>
      <c r="H593" s="233"/>
    </row>
    <row r="594">
      <c r="A594" s="233"/>
      <c r="B594" s="233"/>
      <c r="C594" s="233"/>
      <c r="D594" s="233"/>
      <c r="E594" s="233"/>
      <c r="F594" s="233"/>
      <c r="G594" s="233"/>
      <c r="H594" s="233"/>
    </row>
    <row r="595">
      <c r="A595" s="233"/>
      <c r="B595" s="233"/>
      <c r="C595" s="233"/>
      <c r="D595" s="233"/>
      <c r="E595" s="233"/>
      <c r="F595" s="233"/>
      <c r="G595" s="233"/>
      <c r="H595" s="233"/>
    </row>
    <row r="596">
      <c r="A596" s="233"/>
      <c r="B596" s="233"/>
      <c r="C596" s="233"/>
      <c r="D596" s="233"/>
      <c r="E596" s="233"/>
      <c r="F596" s="233"/>
      <c r="G596" s="233"/>
      <c r="H596" s="233"/>
    </row>
    <row r="597">
      <c r="A597" s="233"/>
      <c r="B597" s="233"/>
      <c r="C597" s="233"/>
      <c r="D597" s="233"/>
      <c r="E597" s="233"/>
      <c r="F597" s="233"/>
      <c r="G597" s="233"/>
      <c r="H597" s="233"/>
    </row>
    <row r="598">
      <c r="A598" s="233"/>
      <c r="B598" s="233"/>
      <c r="C598" s="233"/>
      <c r="D598" s="233"/>
      <c r="E598" s="233"/>
      <c r="F598" s="233"/>
      <c r="G598" s="233"/>
      <c r="H598" s="233"/>
    </row>
    <row r="599">
      <c r="A599" s="233"/>
      <c r="B599" s="233"/>
      <c r="C599" s="233"/>
      <c r="D599" s="233"/>
      <c r="E599" s="233"/>
      <c r="F599" s="233"/>
      <c r="G599" s="233"/>
      <c r="H599" s="233"/>
    </row>
    <row r="600">
      <c r="A600" s="233"/>
      <c r="B600" s="233"/>
      <c r="C600" s="233"/>
      <c r="D600" s="233"/>
      <c r="E600" s="233"/>
      <c r="F600" s="233"/>
      <c r="G600" s="233"/>
      <c r="H600" s="233"/>
    </row>
    <row r="601">
      <c r="A601" s="233"/>
      <c r="B601" s="233"/>
      <c r="C601" s="233"/>
      <c r="D601" s="233"/>
      <c r="E601" s="233"/>
      <c r="F601" s="233"/>
      <c r="G601" s="233"/>
      <c r="H601" s="233"/>
    </row>
    <row r="602">
      <c r="A602" s="233"/>
      <c r="B602" s="233"/>
      <c r="C602" s="233"/>
      <c r="D602" s="233"/>
      <c r="E602" s="233"/>
      <c r="F602" s="233"/>
      <c r="G602" s="233"/>
      <c r="H602" s="233"/>
    </row>
    <row r="603">
      <c r="A603" s="233"/>
      <c r="B603" s="233"/>
      <c r="C603" s="233"/>
      <c r="D603" s="233"/>
      <c r="E603" s="233"/>
      <c r="F603" s="233"/>
      <c r="G603" s="233"/>
      <c r="H603" s="233"/>
    </row>
    <row r="604">
      <c r="A604" s="233"/>
      <c r="B604" s="233"/>
      <c r="C604" s="233"/>
      <c r="D604" s="233"/>
      <c r="E604" s="233"/>
      <c r="F604" s="233"/>
      <c r="G604" s="233"/>
      <c r="H604" s="233"/>
    </row>
    <row r="605">
      <c r="A605" s="233"/>
      <c r="B605" s="233"/>
      <c r="C605" s="233"/>
      <c r="D605" s="233"/>
      <c r="E605" s="233"/>
      <c r="F605" s="233"/>
      <c r="G605" s="233"/>
      <c r="H605" s="233"/>
    </row>
    <row r="606">
      <c r="A606" s="233"/>
      <c r="B606" s="233"/>
      <c r="C606" s="233"/>
      <c r="D606" s="233"/>
      <c r="E606" s="233"/>
      <c r="F606" s="233"/>
      <c r="G606" s="233"/>
      <c r="H606" s="233"/>
    </row>
    <row r="607">
      <c r="A607" s="233"/>
      <c r="B607" s="233"/>
      <c r="C607" s="233"/>
      <c r="D607" s="233"/>
      <c r="E607" s="233"/>
      <c r="F607" s="233"/>
      <c r="G607" s="233"/>
      <c r="H607" s="233"/>
    </row>
    <row r="608">
      <c r="A608" s="233"/>
      <c r="B608" s="233"/>
      <c r="C608" s="233"/>
      <c r="D608" s="233"/>
      <c r="E608" s="233"/>
      <c r="F608" s="233"/>
      <c r="G608" s="233"/>
      <c r="H608" s="233"/>
    </row>
    <row r="609">
      <c r="A609" s="233"/>
      <c r="B609" s="233"/>
      <c r="C609" s="233"/>
      <c r="D609" s="233"/>
      <c r="E609" s="233"/>
      <c r="F609" s="233"/>
      <c r="G609" s="233"/>
      <c r="H609" s="233"/>
    </row>
    <row r="610">
      <c r="A610" s="233"/>
      <c r="B610" s="233"/>
      <c r="C610" s="233"/>
      <c r="D610" s="233"/>
      <c r="E610" s="233"/>
      <c r="F610" s="233"/>
      <c r="G610" s="233"/>
      <c r="H610" s="233"/>
    </row>
    <row r="611">
      <c r="A611" s="233"/>
      <c r="B611" s="233"/>
      <c r="C611" s="233"/>
      <c r="D611" s="233"/>
      <c r="E611" s="233"/>
      <c r="F611" s="233"/>
      <c r="G611" s="233"/>
      <c r="H611" s="233"/>
    </row>
    <row r="612">
      <c r="A612" s="233"/>
      <c r="B612" s="233"/>
      <c r="C612" s="233"/>
      <c r="D612" s="233"/>
      <c r="E612" s="233"/>
      <c r="F612" s="233"/>
      <c r="G612" s="233"/>
      <c r="H612" s="233"/>
    </row>
    <row r="613">
      <c r="A613" s="233"/>
      <c r="B613" s="233"/>
      <c r="C613" s="233"/>
      <c r="D613" s="233"/>
      <c r="E613" s="233"/>
      <c r="F613" s="233"/>
      <c r="G613" s="233"/>
      <c r="H613" s="233"/>
    </row>
    <row r="614">
      <c r="A614" s="233"/>
      <c r="B614" s="233"/>
      <c r="C614" s="233"/>
      <c r="D614" s="233"/>
      <c r="E614" s="233"/>
      <c r="F614" s="233"/>
      <c r="G614" s="233"/>
      <c r="H614" s="233"/>
    </row>
    <row r="615">
      <c r="A615" s="233"/>
      <c r="B615" s="233"/>
      <c r="C615" s="233"/>
      <c r="D615" s="233"/>
      <c r="E615" s="233"/>
      <c r="F615" s="233"/>
      <c r="G615" s="233"/>
      <c r="H615" s="233"/>
    </row>
    <row r="616">
      <c r="A616" s="233"/>
      <c r="B616" s="233"/>
      <c r="C616" s="233"/>
      <c r="D616" s="233"/>
      <c r="E616" s="233"/>
      <c r="F616" s="233"/>
      <c r="G616" s="233"/>
      <c r="H616" s="233"/>
    </row>
    <row r="617">
      <c r="A617" s="233"/>
      <c r="B617" s="233"/>
      <c r="C617" s="233"/>
      <c r="D617" s="233"/>
      <c r="E617" s="233"/>
      <c r="F617" s="233"/>
      <c r="G617" s="233"/>
      <c r="H617" s="233"/>
    </row>
    <row r="618">
      <c r="A618" s="233"/>
      <c r="B618" s="233"/>
      <c r="C618" s="233"/>
      <c r="D618" s="233"/>
      <c r="E618" s="233"/>
      <c r="F618" s="233"/>
      <c r="G618" s="233"/>
      <c r="H618" s="233"/>
    </row>
    <row r="619">
      <c r="A619" s="233"/>
      <c r="B619" s="233"/>
      <c r="C619" s="233"/>
      <c r="D619" s="233"/>
      <c r="E619" s="233"/>
      <c r="F619" s="233"/>
      <c r="G619" s="233"/>
      <c r="H619" s="233"/>
    </row>
    <row r="620">
      <c r="A620" s="233"/>
      <c r="B620" s="233"/>
      <c r="C620" s="233"/>
      <c r="D620" s="233"/>
      <c r="E620" s="233"/>
      <c r="F620" s="233"/>
      <c r="G620" s="233"/>
      <c r="H620" s="233"/>
    </row>
    <row r="621">
      <c r="A621" s="233"/>
      <c r="B621" s="233"/>
      <c r="C621" s="233"/>
      <c r="D621" s="233"/>
      <c r="E621" s="233"/>
      <c r="F621" s="233"/>
      <c r="G621" s="233"/>
      <c r="H621" s="233"/>
    </row>
    <row r="622">
      <c r="A622" s="233"/>
      <c r="B622" s="233"/>
      <c r="C622" s="233"/>
      <c r="D622" s="233"/>
      <c r="E622" s="233"/>
      <c r="F622" s="233"/>
      <c r="G622" s="233"/>
      <c r="H622" s="233"/>
    </row>
    <row r="623">
      <c r="A623" s="233"/>
      <c r="B623" s="233"/>
      <c r="C623" s="233"/>
      <c r="D623" s="233"/>
      <c r="E623" s="233"/>
      <c r="F623" s="233"/>
      <c r="G623" s="233"/>
      <c r="H623" s="233"/>
    </row>
    <row r="624">
      <c r="A624" s="233"/>
      <c r="B624" s="233"/>
      <c r="C624" s="233"/>
      <c r="D624" s="233"/>
      <c r="E624" s="233"/>
      <c r="F624" s="233"/>
      <c r="G624" s="233"/>
      <c r="H624" s="233"/>
    </row>
    <row r="625">
      <c r="A625" s="233"/>
      <c r="B625" s="233"/>
      <c r="C625" s="233"/>
      <c r="D625" s="233"/>
      <c r="E625" s="233"/>
      <c r="F625" s="233"/>
      <c r="G625" s="233"/>
      <c r="H625" s="233"/>
    </row>
    <row r="626">
      <c r="A626" s="233"/>
      <c r="B626" s="233"/>
      <c r="C626" s="233"/>
      <c r="D626" s="233"/>
      <c r="E626" s="233"/>
      <c r="F626" s="233"/>
      <c r="G626" s="233"/>
      <c r="H626" s="233"/>
    </row>
    <row r="627">
      <c r="A627" s="233"/>
      <c r="B627" s="233"/>
      <c r="C627" s="233"/>
      <c r="D627" s="233"/>
      <c r="E627" s="233"/>
      <c r="F627" s="233"/>
      <c r="G627" s="233"/>
      <c r="H627" s="233"/>
    </row>
    <row r="628">
      <c r="A628" s="233"/>
      <c r="B628" s="233"/>
      <c r="C628" s="233"/>
      <c r="D628" s="233"/>
      <c r="E628" s="233"/>
      <c r="F628" s="233"/>
      <c r="G628" s="233"/>
      <c r="H628" s="233"/>
    </row>
    <row r="629">
      <c r="A629" s="233"/>
      <c r="B629" s="233"/>
      <c r="C629" s="233"/>
      <c r="D629" s="233"/>
      <c r="E629" s="233"/>
      <c r="F629" s="233"/>
      <c r="G629" s="233"/>
      <c r="H629" s="233"/>
    </row>
    <row r="630">
      <c r="A630" s="233"/>
      <c r="B630" s="233"/>
      <c r="C630" s="233"/>
      <c r="D630" s="233"/>
      <c r="E630" s="233"/>
      <c r="F630" s="233"/>
      <c r="G630" s="233"/>
      <c r="H630" s="233"/>
    </row>
    <row r="631">
      <c r="A631" s="233"/>
      <c r="B631" s="233"/>
      <c r="C631" s="233"/>
      <c r="D631" s="233"/>
      <c r="E631" s="233"/>
      <c r="F631" s="233"/>
      <c r="G631" s="233"/>
      <c r="H631" s="233"/>
    </row>
    <row r="632">
      <c r="A632" s="233"/>
      <c r="B632" s="233"/>
      <c r="C632" s="233"/>
      <c r="D632" s="233"/>
      <c r="E632" s="233"/>
      <c r="F632" s="233"/>
      <c r="G632" s="233"/>
      <c r="H632" s="233"/>
    </row>
    <row r="633">
      <c r="A633" s="233"/>
      <c r="B633" s="233"/>
      <c r="C633" s="233"/>
      <c r="D633" s="233"/>
      <c r="E633" s="233"/>
      <c r="F633" s="233"/>
      <c r="G633" s="233"/>
      <c r="H633" s="233"/>
    </row>
    <row r="634">
      <c r="A634" s="233"/>
      <c r="B634" s="233"/>
      <c r="C634" s="233"/>
      <c r="D634" s="233"/>
      <c r="E634" s="233"/>
      <c r="F634" s="233"/>
      <c r="G634" s="233"/>
      <c r="H634" s="233"/>
    </row>
    <row r="635">
      <c r="A635" s="233"/>
      <c r="B635" s="233"/>
      <c r="C635" s="233"/>
      <c r="D635" s="233"/>
      <c r="E635" s="233"/>
      <c r="F635" s="233"/>
      <c r="G635" s="233"/>
      <c r="H635" s="233"/>
    </row>
    <row r="636">
      <c r="A636" s="233"/>
      <c r="B636" s="233"/>
      <c r="C636" s="233"/>
      <c r="D636" s="233"/>
      <c r="E636" s="233"/>
      <c r="F636" s="233"/>
      <c r="G636" s="233"/>
      <c r="H636" s="233"/>
    </row>
    <row r="637">
      <c r="A637" s="233"/>
      <c r="B637" s="233"/>
      <c r="C637" s="233"/>
      <c r="D637" s="233"/>
      <c r="E637" s="233"/>
      <c r="F637" s="233"/>
      <c r="G637" s="233"/>
      <c r="H637" s="233"/>
    </row>
    <row r="638">
      <c r="A638" s="233"/>
      <c r="B638" s="233"/>
      <c r="C638" s="233"/>
      <c r="D638" s="233"/>
      <c r="E638" s="233"/>
      <c r="F638" s="233"/>
      <c r="G638" s="233"/>
      <c r="H638" s="233"/>
    </row>
    <row r="639">
      <c r="A639" s="233"/>
      <c r="B639" s="233"/>
      <c r="C639" s="233"/>
      <c r="D639" s="233"/>
      <c r="E639" s="233"/>
      <c r="F639" s="233"/>
      <c r="G639" s="233"/>
      <c r="H639" s="233"/>
    </row>
    <row r="640">
      <c r="A640" s="233"/>
      <c r="B640" s="233"/>
      <c r="C640" s="233"/>
      <c r="D640" s="233"/>
      <c r="E640" s="233"/>
      <c r="F640" s="233"/>
      <c r="G640" s="233"/>
      <c r="H640" s="233"/>
    </row>
    <row r="641">
      <c r="A641" s="233"/>
      <c r="B641" s="233"/>
      <c r="C641" s="233"/>
      <c r="D641" s="233"/>
      <c r="E641" s="233"/>
      <c r="F641" s="233"/>
      <c r="G641" s="233"/>
      <c r="H641" s="233"/>
    </row>
    <row r="642">
      <c r="A642" s="233"/>
      <c r="B642" s="233"/>
      <c r="C642" s="233"/>
      <c r="D642" s="233"/>
      <c r="E642" s="233"/>
      <c r="F642" s="233"/>
      <c r="G642" s="233"/>
      <c r="H642" s="233"/>
    </row>
    <row r="643">
      <c r="A643" s="233"/>
      <c r="B643" s="233"/>
      <c r="C643" s="233"/>
      <c r="D643" s="233"/>
      <c r="E643" s="233"/>
      <c r="F643" s="233"/>
      <c r="G643" s="233"/>
      <c r="H643" s="233"/>
    </row>
    <row r="644">
      <c r="A644" s="233"/>
      <c r="B644" s="233"/>
      <c r="C644" s="233"/>
      <c r="D644" s="233"/>
      <c r="E644" s="233"/>
      <c r="F644" s="233"/>
      <c r="G644" s="233"/>
      <c r="H644" s="233"/>
    </row>
    <row r="645">
      <c r="A645" s="233"/>
      <c r="B645" s="233"/>
      <c r="C645" s="233"/>
      <c r="D645" s="233"/>
      <c r="E645" s="233"/>
      <c r="F645" s="233"/>
      <c r="G645" s="233"/>
      <c r="H645" s="233"/>
    </row>
    <row r="646">
      <c r="A646" s="233"/>
      <c r="B646" s="233"/>
      <c r="C646" s="233"/>
      <c r="D646" s="233"/>
      <c r="E646" s="233"/>
      <c r="F646" s="233"/>
      <c r="G646" s="233"/>
      <c r="H646" s="233"/>
    </row>
    <row r="647">
      <c r="A647" s="233"/>
      <c r="B647" s="233"/>
      <c r="C647" s="233"/>
      <c r="D647" s="233"/>
      <c r="E647" s="233"/>
      <c r="F647" s="233"/>
      <c r="G647" s="233"/>
      <c r="H647" s="233"/>
    </row>
    <row r="648">
      <c r="A648" s="233"/>
      <c r="B648" s="233"/>
      <c r="C648" s="233"/>
      <c r="D648" s="233"/>
      <c r="E648" s="233"/>
      <c r="F648" s="233"/>
      <c r="G648" s="233"/>
      <c r="H648" s="233"/>
    </row>
    <row r="649">
      <c r="A649" s="233"/>
      <c r="B649" s="233"/>
      <c r="C649" s="233"/>
      <c r="D649" s="233"/>
      <c r="E649" s="233"/>
      <c r="F649" s="233"/>
      <c r="G649" s="233"/>
      <c r="H649" s="233"/>
    </row>
    <row r="650">
      <c r="A650" s="233"/>
      <c r="B650" s="233"/>
      <c r="C650" s="233"/>
      <c r="D650" s="233"/>
      <c r="E650" s="233"/>
      <c r="F650" s="233"/>
      <c r="G650" s="233"/>
      <c r="H650" s="233"/>
    </row>
    <row r="651">
      <c r="A651" s="233"/>
      <c r="B651" s="233"/>
      <c r="C651" s="233"/>
      <c r="D651" s="233"/>
      <c r="E651" s="233"/>
      <c r="F651" s="233"/>
      <c r="G651" s="233"/>
      <c r="H651" s="233"/>
    </row>
    <row r="652">
      <c r="A652" s="233"/>
      <c r="B652" s="233"/>
      <c r="C652" s="233"/>
      <c r="D652" s="233"/>
      <c r="E652" s="233"/>
      <c r="F652" s="233"/>
      <c r="G652" s="233"/>
      <c r="H652" s="233"/>
    </row>
    <row r="653">
      <c r="A653" s="233"/>
      <c r="B653" s="233"/>
      <c r="C653" s="233"/>
      <c r="D653" s="233"/>
      <c r="E653" s="233"/>
      <c r="F653" s="233"/>
      <c r="G653" s="233"/>
      <c r="H653" s="233"/>
    </row>
    <row r="654">
      <c r="A654" s="233"/>
      <c r="B654" s="233"/>
      <c r="C654" s="233"/>
      <c r="D654" s="233"/>
      <c r="E654" s="233"/>
      <c r="F654" s="233"/>
      <c r="G654" s="233"/>
      <c r="H654" s="233"/>
    </row>
    <row r="655">
      <c r="A655" s="233"/>
      <c r="B655" s="233"/>
      <c r="C655" s="233"/>
      <c r="D655" s="233"/>
      <c r="E655" s="233"/>
      <c r="F655" s="233"/>
      <c r="G655" s="233"/>
      <c r="H655" s="233"/>
    </row>
    <row r="656">
      <c r="A656" s="233"/>
      <c r="B656" s="233"/>
      <c r="C656" s="233"/>
      <c r="D656" s="233"/>
      <c r="E656" s="233"/>
      <c r="F656" s="233"/>
      <c r="G656" s="233"/>
      <c r="H656" s="233"/>
    </row>
    <row r="657">
      <c r="A657" s="233"/>
      <c r="B657" s="233"/>
      <c r="C657" s="233"/>
      <c r="D657" s="233"/>
      <c r="E657" s="233"/>
      <c r="F657" s="233"/>
      <c r="G657" s="233"/>
      <c r="H657" s="233"/>
    </row>
    <row r="658">
      <c r="A658" s="233"/>
      <c r="B658" s="233"/>
      <c r="C658" s="233"/>
      <c r="D658" s="233"/>
      <c r="E658" s="233"/>
      <c r="F658" s="233"/>
      <c r="G658" s="233"/>
      <c r="H658" s="233"/>
    </row>
    <row r="659">
      <c r="A659" s="233"/>
      <c r="B659" s="233"/>
      <c r="C659" s="233"/>
      <c r="D659" s="233"/>
      <c r="E659" s="233"/>
      <c r="F659" s="233"/>
      <c r="G659" s="233"/>
      <c r="H659" s="233"/>
    </row>
    <row r="660">
      <c r="A660" s="233"/>
      <c r="B660" s="233"/>
      <c r="C660" s="233"/>
      <c r="D660" s="233"/>
      <c r="E660" s="233"/>
      <c r="F660" s="233"/>
      <c r="G660" s="233"/>
      <c r="H660" s="233"/>
    </row>
    <row r="661">
      <c r="A661" s="233"/>
      <c r="B661" s="233"/>
      <c r="C661" s="233"/>
      <c r="D661" s="233"/>
      <c r="E661" s="233"/>
      <c r="F661" s="233"/>
      <c r="G661" s="233"/>
      <c r="H661" s="233"/>
    </row>
    <row r="662">
      <c r="A662" s="233"/>
      <c r="B662" s="233"/>
      <c r="C662" s="233"/>
      <c r="D662" s="233"/>
      <c r="E662" s="233"/>
      <c r="F662" s="233"/>
      <c r="G662" s="233"/>
      <c r="H662" s="233"/>
    </row>
    <row r="663">
      <c r="A663" s="233"/>
      <c r="B663" s="233"/>
      <c r="C663" s="233"/>
      <c r="D663" s="233"/>
      <c r="E663" s="233"/>
      <c r="F663" s="233"/>
      <c r="G663" s="233"/>
      <c r="H663" s="233"/>
    </row>
    <row r="664">
      <c r="A664" s="233"/>
      <c r="B664" s="233"/>
      <c r="C664" s="233"/>
      <c r="D664" s="233"/>
      <c r="E664" s="233"/>
      <c r="F664" s="233"/>
      <c r="G664" s="233"/>
      <c r="H664" s="233"/>
    </row>
    <row r="665">
      <c r="A665" s="233"/>
      <c r="B665" s="233"/>
      <c r="C665" s="233"/>
      <c r="D665" s="233"/>
      <c r="E665" s="233"/>
      <c r="F665" s="233"/>
      <c r="G665" s="233"/>
      <c r="H665" s="233"/>
    </row>
    <row r="666">
      <c r="A666" s="233"/>
      <c r="B666" s="233"/>
      <c r="C666" s="233"/>
      <c r="D666" s="233"/>
      <c r="E666" s="233"/>
      <c r="F666" s="233"/>
      <c r="G666" s="233"/>
      <c r="H666" s="233"/>
    </row>
    <row r="667">
      <c r="A667" s="233"/>
      <c r="B667" s="233"/>
      <c r="C667" s="233"/>
      <c r="D667" s="233"/>
      <c r="E667" s="233"/>
      <c r="F667" s="233"/>
      <c r="G667" s="233"/>
      <c r="H667" s="233"/>
    </row>
    <row r="668">
      <c r="A668" s="233"/>
      <c r="B668" s="233"/>
      <c r="C668" s="233"/>
      <c r="D668" s="233"/>
      <c r="E668" s="233"/>
      <c r="F668" s="233"/>
      <c r="G668" s="233"/>
      <c r="H668" s="233"/>
    </row>
    <row r="669">
      <c r="A669" s="233"/>
      <c r="B669" s="233"/>
      <c r="C669" s="233"/>
      <c r="D669" s="233"/>
      <c r="E669" s="233"/>
      <c r="F669" s="233"/>
      <c r="G669" s="233"/>
      <c r="H669" s="233"/>
    </row>
    <row r="670">
      <c r="A670" s="233"/>
      <c r="B670" s="233"/>
      <c r="C670" s="233"/>
      <c r="D670" s="233"/>
      <c r="E670" s="233"/>
      <c r="F670" s="233"/>
      <c r="G670" s="233"/>
      <c r="H670" s="233"/>
    </row>
    <row r="671">
      <c r="A671" s="233"/>
      <c r="B671" s="233"/>
      <c r="C671" s="233"/>
      <c r="D671" s="233"/>
      <c r="E671" s="233"/>
      <c r="F671" s="233"/>
      <c r="G671" s="233"/>
      <c r="H671" s="233"/>
    </row>
    <row r="672">
      <c r="A672" s="233"/>
      <c r="B672" s="233"/>
      <c r="C672" s="233"/>
      <c r="D672" s="233"/>
      <c r="E672" s="233"/>
      <c r="F672" s="233"/>
      <c r="G672" s="233"/>
      <c r="H672" s="233"/>
    </row>
    <row r="673">
      <c r="A673" s="233"/>
      <c r="B673" s="233"/>
      <c r="C673" s="233"/>
      <c r="D673" s="233"/>
      <c r="E673" s="233"/>
      <c r="F673" s="233"/>
      <c r="G673" s="233"/>
      <c r="H673" s="233"/>
    </row>
    <row r="674">
      <c r="A674" s="233"/>
      <c r="B674" s="233"/>
      <c r="C674" s="233"/>
      <c r="D674" s="233"/>
      <c r="E674" s="233"/>
      <c r="F674" s="233"/>
      <c r="G674" s="233"/>
      <c r="H674" s="233"/>
    </row>
    <row r="675">
      <c r="A675" s="233"/>
      <c r="B675" s="233"/>
      <c r="C675" s="233"/>
      <c r="D675" s="233"/>
      <c r="E675" s="233"/>
      <c r="F675" s="233"/>
      <c r="G675" s="233"/>
      <c r="H675" s="233"/>
    </row>
    <row r="676">
      <c r="A676" s="233"/>
      <c r="B676" s="233"/>
      <c r="C676" s="233"/>
      <c r="D676" s="233"/>
      <c r="E676" s="233"/>
      <c r="F676" s="233"/>
      <c r="G676" s="233"/>
      <c r="H676" s="233"/>
    </row>
    <row r="677">
      <c r="A677" s="233"/>
      <c r="B677" s="233"/>
      <c r="C677" s="233"/>
      <c r="D677" s="233"/>
      <c r="E677" s="233"/>
      <c r="F677" s="233"/>
      <c r="G677" s="233"/>
      <c r="H677" s="233"/>
    </row>
    <row r="678">
      <c r="A678" s="233"/>
      <c r="B678" s="233"/>
      <c r="C678" s="233"/>
      <c r="D678" s="233"/>
      <c r="E678" s="233"/>
      <c r="F678" s="233"/>
      <c r="G678" s="233"/>
      <c r="H678" s="233"/>
    </row>
    <row r="679">
      <c r="A679" s="233"/>
      <c r="B679" s="233"/>
      <c r="C679" s="233"/>
      <c r="D679" s="233"/>
      <c r="E679" s="233"/>
      <c r="F679" s="233"/>
      <c r="G679" s="233"/>
      <c r="H679" s="233"/>
    </row>
    <row r="680">
      <c r="A680" s="233"/>
      <c r="B680" s="233"/>
      <c r="C680" s="233"/>
      <c r="D680" s="233"/>
      <c r="E680" s="233"/>
      <c r="F680" s="233"/>
      <c r="G680" s="233"/>
      <c r="H680" s="233"/>
    </row>
    <row r="681">
      <c r="A681" s="233"/>
      <c r="B681" s="233"/>
      <c r="C681" s="233"/>
      <c r="D681" s="233"/>
      <c r="E681" s="233"/>
      <c r="F681" s="233"/>
      <c r="G681" s="233"/>
      <c r="H681" s="233"/>
    </row>
    <row r="682">
      <c r="A682" s="233"/>
      <c r="B682" s="233"/>
      <c r="C682" s="233"/>
      <c r="D682" s="233"/>
      <c r="E682" s="233"/>
      <c r="F682" s="233"/>
      <c r="G682" s="233"/>
      <c r="H682" s="233"/>
    </row>
    <row r="683">
      <c r="A683" s="233"/>
      <c r="B683" s="233"/>
      <c r="C683" s="233"/>
      <c r="D683" s="233"/>
      <c r="E683" s="233"/>
      <c r="F683" s="233"/>
      <c r="G683" s="233"/>
      <c r="H683" s="233"/>
    </row>
    <row r="684">
      <c r="A684" s="233"/>
      <c r="B684" s="233"/>
      <c r="C684" s="233"/>
      <c r="D684" s="233"/>
      <c r="E684" s="233"/>
      <c r="F684" s="233"/>
      <c r="G684" s="233"/>
      <c r="H684" s="233"/>
    </row>
    <row r="685">
      <c r="A685" s="233"/>
      <c r="B685" s="233"/>
      <c r="C685" s="233"/>
      <c r="D685" s="233"/>
      <c r="E685" s="233"/>
      <c r="F685" s="233"/>
      <c r="G685" s="233"/>
      <c r="H685" s="233"/>
    </row>
    <row r="686">
      <c r="A686" s="233"/>
      <c r="B686" s="233"/>
      <c r="C686" s="233"/>
      <c r="D686" s="233"/>
      <c r="E686" s="233"/>
      <c r="F686" s="233"/>
      <c r="G686" s="233"/>
      <c r="H686" s="233"/>
    </row>
    <row r="687">
      <c r="A687" s="233"/>
      <c r="B687" s="233"/>
      <c r="C687" s="233"/>
      <c r="D687" s="233"/>
      <c r="E687" s="233"/>
      <c r="F687" s="233"/>
      <c r="G687" s="233"/>
      <c r="H687" s="233"/>
    </row>
    <row r="688">
      <c r="A688" s="233"/>
      <c r="B688" s="233"/>
      <c r="C688" s="233"/>
      <c r="D688" s="233"/>
      <c r="E688" s="233"/>
      <c r="F688" s="233"/>
      <c r="G688" s="233"/>
      <c r="H688" s="233"/>
    </row>
    <row r="689">
      <c r="A689" s="233"/>
      <c r="B689" s="233"/>
      <c r="C689" s="233"/>
      <c r="D689" s="233"/>
      <c r="E689" s="233"/>
      <c r="F689" s="233"/>
      <c r="G689" s="233"/>
      <c r="H689" s="233"/>
    </row>
    <row r="690">
      <c r="A690" s="233"/>
      <c r="B690" s="233"/>
      <c r="C690" s="233"/>
      <c r="D690" s="233"/>
      <c r="E690" s="233"/>
      <c r="F690" s="233"/>
      <c r="G690" s="233"/>
      <c r="H690" s="233"/>
    </row>
    <row r="691">
      <c r="A691" s="233"/>
      <c r="B691" s="233"/>
      <c r="C691" s="233"/>
      <c r="D691" s="233"/>
      <c r="E691" s="233"/>
      <c r="F691" s="233"/>
      <c r="G691" s="233"/>
      <c r="H691" s="233"/>
    </row>
    <row r="692">
      <c r="A692" s="233"/>
      <c r="B692" s="233"/>
      <c r="C692" s="233"/>
      <c r="D692" s="233"/>
      <c r="E692" s="233"/>
      <c r="F692" s="233"/>
      <c r="G692" s="233"/>
      <c r="H692" s="233"/>
    </row>
    <row r="693">
      <c r="A693" s="233"/>
      <c r="B693" s="233"/>
      <c r="C693" s="233"/>
      <c r="D693" s="233"/>
      <c r="E693" s="233"/>
      <c r="F693" s="233"/>
      <c r="G693" s="233"/>
      <c r="H693" s="233"/>
    </row>
    <row r="694">
      <c r="A694" s="233"/>
      <c r="B694" s="233"/>
      <c r="C694" s="233"/>
      <c r="D694" s="233"/>
      <c r="E694" s="233"/>
      <c r="F694" s="233"/>
      <c r="G694" s="233"/>
      <c r="H694" s="233"/>
    </row>
    <row r="695">
      <c r="A695" s="233"/>
      <c r="B695" s="233"/>
      <c r="C695" s="233"/>
      <c r="D695" s="233"/>
      <c r="E695" s="233"/>
      <c r="F695" s="233"/>
      <c r="G695" s="233"/>
      <c r="H695" s="233"/>
    </row>
    <row r="696">
      <c r="A696" s="233"/>
      <c r="B696" s="233"/>
      <c r="C696" s="233"/>
      <c r="D696" s="233"/>
      <c r="E696" s="233"/>
      <c r="F696" s="233"/>
      <c r="G696" s="233"/>
      <c r="H696" s="233"/>
    </row>
    <row r="697">
      <c r="A697" s="233"/>
      <c r="B697" s="233"/>
      <c r="C697" s="233"/>
      <c r="D697" s="233"/>
      <c r="E697" s="233"/>
      <c r="F697" s="233"/>
      <c r="G697" s="233"/>
      <c r="H697" s="233"/>
    </row>
    <row r="698">
      <c r="A698" s="233"/>
      <c r="B698" s="233"/>
      <c r="C698" s="233"/>
      <c r="D698" s="233"/>
      <c r="E698" s="233"/>
      <c r="F698" s="233"/>
      <c r="G698" s="233"/>
      <c r="H698" s="233"/>
    </row>
    <row r="699">
      <c r="A699" s="233"/>
      <c r="B699" s="233"/>
      <c r="C699" s="233"/>
      <c r="D699" s="233"/>
      <c r="E699" s="233"/>
      <c r="F699" s="233"/>
      <c r="G699" s="233"/>
      <c r="H699" s="233"/>
    </row>
    <row r="700">
      <c r="A700" s="233"/>
      <c r="B700" s="233"/>
      <c r="C700" s="233"/>
      <c r="D700" s="233"/>
      <c r="E700" s="233"/>
      <c r="F700" s="233"/>
      <c r="G700" s="233"/>
      <c r="H700" s="233"/>
    </row>
    <row r="701">
      <c r="A701" s="233"/>
      <c r="B701" s="233"/>
      <c r="C701" s="233"/>
      <c r="D701" s="233"/>
      <c r="E701" s="233"/>
      <c r="F701" s="233"/>
      <c r="G701" s="233"/>
      <c r="H701" s="233"/>
    </row>
    <row r="702">
      <c r="A702" s="233"/>
      <c r="B702" s="233"/>
      <c r="C702" s="233"/>
      <c r="D702" s="233"/>
      <c r="E702" s="233"/>
      <c r="F702" s="233"/>
      <c r="G702" s="233"/>
      <c r="H702" s="233"/>
    </row>
    <row r="703">
      <c r="A703" s="233"/>
      <c r="B703" s="233"/>
      <c r="C703" s="233"/>
      <c r="D703" s="233"/>
      <c r="E703" s="233"/>
      <c r="F703" s="233"/>
      <c r="G703" s="233"/>
      <c r="H703" s="233"/>
    </row>
    <row r="704">
      <c r="A704" s="233"/>
      <c r="B704" s="233"/>
      <c r="C704" s="233"/>
      <c r="D704" s="233"/>
      <c r="E704" s="233"/>
      <c r="F704" s="233"/>
      <c r="G704" s="233"/>
      <c r="H704" s="233"/>
    </row>
    <row r="705">
      <c r="A705" s="233"/>
      <c r="B705" s="233"/>
      <c r="C705" s="233"/>
      <c r="D705" s="233"/>
      <c r="E705" s="233"/>
      <c r="F705" s="233"/>
      <c r="G705" s="233"/>
      <c r="H705" s="233"/>
    </row>
    <row r="706">
      <c r="A706" s="233"/>
      <c r="B706" s="233"/>
      <c r="C706" s="233"/>
      <c r="D706" s="233"/>
      <c r="E706" s="233"/>
      <c r="F706" s="233"/>
      <c r="G706" s="233"/>
      <c r="H706" s="233"/>
    </row>
    <row r="707">
      <c r="A707" s="233"/>
      <c r="B707" s="233"/>
      <c r="C707" s="233"/>
      <c r="D707" s="233"/>
      <c r="E707" s="233"/>
      <c r="F707" s="233"/>
      <c r="G707" s="233"/>
      <c r="H707" s="233"/>
    </row>
    <row r="708">
      <c r="A708" s="233"/>
      <c r="B708" s="233"/>
      <c r="C708" s="233"/>
      <c r="D708" s="233"/>
      <c r="E708" s="233"/>
      <c r="F708" s="233"/>
      <c r="G708" s="233"/>
      <c r="H708" s="233"/>
    </row>
    <row r="709">
      <c r="A709" s="233"/>
      <c r="B709" s="233"/>
      <c r="C709" s="233"/>
      <c r="D709" s="233"/>
      <c r="E709" s="233"/>
      <c r="F709" s="233"/>
      <c r="G709" s="233"/>
      <c r="H709" s="233"/>
    </row>
    <row r="710">
      <c r="A710" s="233"/>
      <c r="B710" s="233"/>
      <c r="C710" s="233"/>
      <c r="D710" s="233"/>
      <c r="E710" s="233"/>
      <c r="F710" s="233"/>
      <c r="G710" s="233"/>
      <c r="H710" s="233"/>
    </row>
    <row r="711">
      <c r="A711" s="233"/>
      <c r="B711" s="233"/>
      <c r="C711" s="233"/>
      <c r="D711" s="233"/>
      <c r="E711" s="233"/>
      <c r="F711" s="233"/>
      <c r="G711" s="233"/>
      <c r="H711" s="233"/>
    </row>
    <row r="712">
      <c r="A712" s="233"/>
      <c r="B712" s="233"/>
      <c r="C712" s="233"/>
      <c r="D712" s="233"/>
      <c r="E712" s="233"/>
      <c r="F712" s="233"/>
      <c r="G712" s="233"/>
      <c r="H712" s="233"/>
    </row>
    <row r="713">
      <c r="A713" s="233"/>
      <c r="B713" s="233"/>
      <c r="C713" s="233"/>
      <c r="D713" s="233"/>
      <c r="E713" s="233"/>
      <c r="F713" s="233"/>
      <c r="G713" s="233"/>
      <c r="H713" s="233"/>
    </row>
    <row r="714">
      <c r="A714" s="233"/>
      <c r="B714" s="233"/>
      <c r="C714" s="233"/>
      <c r="D714" s="233"/>
      <c r="E714" s="233"/>
      <c r="F714" s="233"/>
      <c r="G714" s="233"/>
      <c r="H714" s="233"/>
    </row>
    <row r="715">
      <c r="A715" s="233"/>
      <c r="B715" s="233"/>
      <c r="C715" s="233"/>
      <c r="D715" s="233"/>
      <c r="E715" s="233"/>
      <c r="F715" s="233"/>
      <c r="G715" s="233"/>
      <c r="H715" s="233"/>
    </row>
    <row r="716">
      <c r="A716" s="233"/>
      <c r="B716" s="233"/>
      <c r="C716" s="233"/>
      <c r="D716" s="233"/>
      <c r="E716" s="233"/>
      <c r="F716" s="233"/>
      <c r="G716" s="233"/>
      <c r="H716" s="233"/>
    </row>
    <row r="717">
      <c r="A717" s="233"/>
      <c r="B717" s="233"/>
      <c r="C717" s="233"/>
      <c r="D717" s="233"/>
      <c r="E717" s="233"/>
      <c r="F717" s="233"/>
      <c r="G717" s="233"/>
      <c r="H717" s="233"/>
    </row>
    <row r="718">
      <c r="A718" s="233"/>
      <c r="B718" s="233"/>
      <c r="C718" s="233"/>
      <c r="D718" s="233"/>
      <c r="E718" s="233"/>
      <c r="F718" s="233"/>
      <c r="G718" s="233"/>
      <c r="H718" s="233"/>
    </row>
    <row r="719">
      <c r="A719" s="233"/>
      <c r="B719" s="233"/>
      <c r="C719" s="233"/>
      <c r="D719" s="233"/>
      <c r="E719" s="233"/>
      <c r="F719" s="233"/>
      <c r="G719" s="233"/>
      <c r="H719" s="233"/>
    </row>
    <row r="720">
      <c r="A720" s="233"/>
      <c r="B720" s="233"/>
      <c r="C720" s="233"/>
      <c r="D720" s="233"/>
      <c r="E720" s="233"/>
      <c r="F720" s="233"/>
      <c r="G720" s="233"/>
      <c r="H720" s="233"/>
    </row>
    <row r="721">
      <c r="A721" s="233"/>
      <c r="B721" s="233"/>
      <c r="C721" s="233"/>
      <c r="D721" s="233"/>
      <c r="E721" s="233"/>
      <c r="F721" s="233"/>
      <c r="G721" s="233"/>
      <c r="H721" s="233"/>
    </row>
    <row r="722">
      <c r="A722" s="233"/>
      <c r="B722" s="233"/>
      <c r="C722" s="233"/>
      <c r="D722" s="233"/>
      <c r="E722" s="233"/>
      <c r="F722" s="233"/>
      <c r="G722" s="233"/>
      <c r="H722" s="233"/>
    </row>
    <row r="723">
      <c r="A723" s="233"/>
      <c r="B723" s="233"/>
      <c r="C723" s="233"/>
      <c r="D723" s="233"/>
      <c r="E723" s="233"/>
      <c r="F723" s="233"/>
      <c r="G723" s="233"/>
      <c r="H723" s="233"/>
    </row>
    <row r="724">
      <c r="A724" s="233"/>
      <c r="B724" s="233"/>
      <c r="C724" s="233"/>
      <c r="D724" s="233"/>
      <c r="E724" s="233"/>
      <c r="F724" s="233"/>
      <c r="G724" s="233"/>
      <c r="H724" s="233"/>
    </row>
    <row r="725">
      <c r="A725" s="233"/>
      <c r="B725" s="233"/>
      <c r="C725" s="233"/>
      <c r="D725" s="233"/>
      <c r="E725" s="233"/>
      <c r="F725" s="233"/>
      <c r="G725" s="233"/>
      <c r="H725" s="233"/>
    </row>
    <row r="726">
      <c r="A726" s="233"/>
      <c r="B726" s="233"/>
      <c r="C726" s="233"/>
      <c r="D726" s="233"/>
      <c r="E726" s="233"/>
      <c r="F726" s="233"/>
      <c r="G726" s="233"/>
      <c r="H726" s="233"/>
    </row>
    <row r="727">
      <c r="A727" s="233"/>
      <c r="B727" s="233"/>
      <c r="C727" s="233"/>
      <c r="D727" s="233"/>
      <c r="E727" s="233"/>
      <c r="F727" s="233"/>
      <c r="G727" s="233"/>
      <c r="H727" s="233"/>
    </row>
    <row r="728">
      <c r="A728" s="233"/>
      <c r="B728" s="233"/>
      <c r="C728" s="233"/>
      <c r="D728" s="233"/>
      <c r="E728" s="233"/>
      <c r="F728" s="233"/>
      <c r="G728" s="233"/>
      <c r="H728" s="233"/>
    </row>
    <row r="729">
      <c r="A729" s="233"/>
      <c r="B729" s="233"/>
      <c r="C729" s="233"/>
      <c r="D729" s="233"/>
      <c r="E729" s="233"/>
      <c r="F729" s="233"/>
      <c r="G729" s="233"/>
      <c r="H729" s="233"/>
    </row>
    <row r="730">
      <c r="A730" s="233"/>
      <c r="B730" s="233"/>
      <c r="C730" s="233"/>
      <c r="D730" s="233"/>
      <c r="E730" s="233"/>
      <c r="F730" s="233"/>
      <c r="G730" s="233"/>
      <c r="H730" s="233"/>
    </row>
    <row r="731">
      <c r="A731" s="233"/>
      <c r="B731" s="233"/>
      <c r="C731" s="233"/>
      <c r="D731" s="233"/>
      <c r="E731" s="233"/>
      <c r="F731" s="233"/>
      <c r="G731" s="233"/>
      <c r="H731" s="233"/>
    </row>
    <row r="732">
      <c r="A732" s="233"/>
      <c r="B732" s="233"/>
      <c r="C732" s="233"/>
      <c r="D732" s="233"/>
      <c r="E732" s="233"/>
      <c r="F732" s="233"/>
      <c r="G732" s="233"/>
      <c r="H732" s="233"/>
    </row>
    <row r="733">
      <c r="A733" s="233"/>
      <c r="B733" s="233"/>
      <c r="C733" s="233"/>
      <c r="D733" s="233"/>
      <c r="E733" s="233"/>
      <c r="F733" s="233"/>
      <c r="G733" s="233"/>
      <c r="H733" s="233"/>
    </row>
    <row r="734">
      <c r="A734" s="233"/>
      <c r="B734" s="233"/>
      <c r="C734" s="233"/>
      <c r="D734" s="233"/>
      <c r="E734" s="233"/>
      <c r="F734" s="233"/>
      <c r="G734" s="233"/>
      <c r="H734" s="233"/>
    </row>
    <row r="735">
      <c r="A735" s="233"/>
      <c r="B735" s="233"/>
      <c r="C735" s="233"/>
      <c r="D735" s="233"/>
      <c r="E735" s="233"/>
      <c r="F735" s="233"/>
      <c r="G735" s="233"/>
      <c r="H735" s="233"/>
    </row>
    <row r="736">
      <c r="A736" s="233"/>
      <c r="B736" s="233"/>
      <c r="C736" s="233"/>
      <c r="D736" s="233"/>
      <c r="E736" s="233"/>
      <c r="F736" s="233"/>
      <c r="G736" s="233"/>
      <c r="H736" s="233"/>
    </row>
    <row r="737">
      <c r="A737" s="233"/>
      <c r="B737" s="233"/>
      <c r="C737" s="233"/>
      <c r="D737" s="233"/>
      <c r="E737" s="233"/>
      <c r="F737" s="233"/>
      <c r="G737" s="233"/>
      <c r="H737" s="233"/>
    </row>
    <row r="738">
      <c r="A738" s="233"/>
      <c r="B738" s="233"/>
      <c r="C738" s="233"/>
      <c r="D738" s="233"/>
      <c r="E738" s="233"/>
      <c r="F738" s="233"/>
      <c r="G738" s="233"/>
      <c r="H738" s="233"/>
    </row>
    <row r="739">
      <c r="A739" s="233"/>
      <c r="B739" s="233"/>
      <c r="C739" s="233"/>
      <c r="D739" s="233"/>
      <c r="E739" s="233"/>
      <c r="F739" s="233"/>
      <c r="G739" s="233"/>
      <c r="H739" s="233"/>
    </row>
    <row r="740">
      <c r="A740" s="233"/>
      <c r="B740" s="233"/>
      <c r="C740" s="233"/>
      <c r="D740" s="233"/>
      <c r="E740" s="233"/>
      <c r="F740" s="233"/>
      <c r="G740" s="233"/>
      <c r="H740" s="233"/>
    </row>
    <row r="741">
      <c r="A741" s="233"/>
      <c r="B741" s="233"/>
      <c r="C741" s="233"/>
      <c r="D741" s="233"/>
      <c r="E741" s="233"/>
      <c r="F741" s="233"/>
      <c r="G741" s="233"/>
      <c r="H741" s="233"/>
    </row>
    <row r="742">
      <c r="A742" s="233"/>
      <c r="B742" s="233"/>
      <c r="C742" s="233"/>
      <c r="D742" s="233"/>
      <c r="E742" s="233"/>
      <c r="F742" s="233"/>
      <c r="G742" s="233"/>
      <c r="H742" s="233"/>
    </row>
    <row r="743">
      <c r="A743" s="233"/>
      <c r="B743" s="233"/>
      <c r="C743" s="233"/>
      <c r="D743" s="233"/>
      <c r="E743" s="233"/>
      <c r="F743" s="233"/>
      <c r="G743" s="233"/>
      <c r="H743" s="233"/>
    </row>
    <row r="744">
      <c r="A744" s="233"/>
      <c r="B744" s="233"/>
      <c r="C744" s="233"/>
      <c r="D744" s="233"/>
      <c r="E744" s="233"/>
      <c r="F744" s="233"/>
      <c r="G744" s="233"/>
      <c r="H744" s="233"/>
    </row>
    <row r="745">
      <c r="A745" s="233"/>
      <c r="B745" s="233"/>
      <c r="C745" s="233"/>
      <c r="D745" s="233"/>
      <c r="E745" s="233"/>
      <c r="F745" s="233"/>
      <c r="G745" s="233"/>
      <c r="H745" s="233"/>
    </row>
    <row r="746">
      <c r="A746" s="233"/>
      <c r="B746" s="233"/>
      <c r="C746" s="233"/>
      <c r="D746" s="233"/>
      <c r="E746" s="233"/>
      <c r="F746" s="233"/>
      <c r="G746" s="233"/>
      <c r="H746" s="233"/>
    </row>
    <row r="747">
      <c r="A747" s="233"/>
      <c r="B747" s="233"/>
      <c r="C747" s="233"/>
      <c r="D747" s="233"/>
      <c r="E747" s="233"/>
      <c r="F747" s="233"/>
      <c r="G747" s="233"/>
      <c r="H747" s="233"/>
    </row>
    <row r="748">
      <c r="A748" s="233"/>
      <c r="B748" s="233"/>
      <c r="C748" s="233"/>
      <c r="D748" s="233"/>
      <c r="E748" s="233"/>
      <c r="F748" s="233"/>
      <c r="G748" s="233"/>
      <c r="H748" s="233"/>
    </row>
    <row r="749">
      <c r="A749" s="233"/>
      <c r="B749" s="233"/>
      <c r="C749" s="233"/>
      <c r="D749" s="233"/>
      <c r="E749" s="233"/>
      <c r="F749" s="233"/>
      <c r="G749" s="233"/>
      <c r="H749" s="233"/>
    </row>
    <row r="750">
      <c r="A750" s="233"/>
      <c r="B750" s="233"/>
      <c r="C750" s="233"/>
      <c r="D750" s="233"/>
      <c r="E750" s="233"/>
      <c r="F750" s="233"/>
      <c r="G750" s="233"/>
      <c r="H750" s="233"/>
    </row>
    <row r="751">
      <c r="A751" s="233"/>
      <c r="B751" s="233"/>
      <c r="C751" s="233"/>
      <c r="D751" s="233"/>
      <c r="E751" s="233"/>
      <c r="F751" s="233"/>
      <c r="G751" s="233"/>
      <c r="H751" s="233"/>
    </row>
    <row r="752">
      <c r="A752" s="233"/>
      <c r="B752" s="233"/>
      <c r="C752" s="233"/>
      <c r="D752" s="233"/>
      <c r="E752" s="233"/>
      <c r="F752" s="233"/>
      <c r="G752" s="233"/>
      <c r="H752" s="233"/>
    </row>
    <row r="753">
      <c r="A753" s="233"/>
      <c r="B753" s="233"/>
      <c r="C753" s="233"/>
      <c r="D753" s="233"/>
      <c r="E753" s="233"/>
      <c r="F753" s="233"/>
      <c r="G753" s="233"/>
      <c r="H753" s="233"/>
    </row>
    <row r="754">
      <c r="A754" s="233"/>
      <c r="B754" s="233"/>
      <c r="C754" s="233"/>
      <c r="D754" s="233"/>
      <c r="E754" s="233"/>
      <c r="F754" s="233"/>
      <c r="G754" s="233"/>
      <c r="H754" s="233"/>
    </row>
    <row r="755">
      <c r="A755" s="233"/>
      <c r="B755" s="233"/>
      <c r="C755" s="233"/>
      <c r="D755" s="233"/>
      <c r="E755" s="233"/>
      <c r="F755" s="233"/>
      <c r="G755" s="233"/>
      <c r="H755" s="233"/>
    </row>
    <row r="756">
      <c r="A756" s="233"/>
      <c r="B756" s="233"/>
      <c r="C756" s="233"/>
      <c r="D756" s="233"/>
      <c r="E756" s="233"/>
      <c r="F756" s="233"/>
      <c r="G756" s="233"/>
      <c r="H756" s="233"/>
    </row>
    <row r="757">
      <c r="A757" s="233"/>
      <c r="B757" s="233"/>
      <c r="C757" s="233"/>
      <c r="D757" s="233"/>
      <c r="E757" s="233"/>
      <c r="F757" s="233"/>
      <c r="G757" s="233"/>
      <c r="H757" s="233"/>
    </row>
    <row r="758">
      <c r="A758" s="233"/>
      <c r="B758" s="233"/>
      <c r="C758" s="233"/>
      <c r="D758" s="233"/>
      <c r="E758" s="233"/>
      <c r="F758" s="233"/>
      <c r="G758" s="233"/>
      <c r="H758" s="233"/>
    </row>
    <row r="759">
      <c r="A759" s="233"/>
      <c r="B759" s="233"/>
      <c r="C759" s="233"/>
      <c r="D759" s="233"/>
      <c r="E759" s="233"/>
      <c r="F759" s="233"/>
      <c r="G759" s="233"/>
      <c r="H759" s="233"/>
    </row>
    <row r="760">
      <c r="A760" s="233"/>
      <c r="B760" s="233"/>
      <c r="C760" s="233"/>
      <c r="D760" s="233"/>
      <c r="E760" s="233"/>
      <c r="F760" s="233"/>
      <c r="G760" s="233"/>
      <c r="H760" s="233"/>
    </row>
    <row r="761">
      <c r="A761" s="233"/>
      <c r="B761" s="233"/>
      <c r="C761" s="233"/>
      <c r="D761" s="233"/>
      <c r="E761" s="233"/>
      <c r="F761" s="233"/>
      <c r="G761" s="233"/>
      <c r="H761" s="233"/>
    </row>
    <row r="762">
      <c r="A762" s="233"/>
      <c r="B762" s="233"/>
      <c r="C762" s="233"/>
      <c r="D762" s="233"/>
      <c r="E762" s="233"/>
      <c r="F762" s="233"/>
      <c r="G762" s="233"/>
      <c r="H762" s="233"/>
    </row>
    <row r="763">
      <c r="A763" s="233"/>
      <c r="B763" s="233"/>
      <c r="C763" s="233"/>
      <c r="D763" s="233"/>
      <c r="E763" s="233"/>
      <c r="F763" s="233"/>
      <c r="G763" s="233"/>
      <c r="H763" s="233"/>
    </row>
    <row r="764">
      <c r="A764" s="233"/>
      <c r="B764" s="233"/>
      <c r="C764" s="233"/>
      <c r="D764" s="233"/>
      <c r="E764" s="233"/>
      <c r="F764" s="233"/>
      <c r="G764" s="233"/>
      <c r="H764" s="233"/>
    </row>
    <row r="765">
      <c r="A765" s="233"/>
      <c r="B765" s="233"/>
      <c r="C765" s="233"/>
      <c r="D765" s="233"/>
      <c r="E765" s="233"/>
      <c r="F765" s="233"/>
      <c r="G765" s="233"/>
      <c r="H765" s="233"/>
    </row>
    <row r="766">
      <c r="A766" s="233"/>
      <c r="B766" s="233"/>
      <c r="C766" s="233"/>
      <c r="D766" s="233"/>
      <c r="E766" s="233"/>
      <c r="F766" s="233"/>
      <c r="G766" s="233"/>
      <c r="H766" s="233"/>
    </row>
    <row r="767">
      <c r="A767" s="233"/>
      <c r="B767" s="233"/>
      <c r="C767" s="233"/>
      <c r="D767" s="233"/>
      <c r="E767" s="233"/>
      <c r="F767" s="233"/>
      <c r="G767" s="233"/>
      <c r="H767" s="233"/>
    </row>
    <row r="768">
      <c r="A768" s="233"/>
      <c r="B768" s="233"/>
      <c r="C768" s="233"/>
      <c r="D768" s="233"/>
      <c r="E768" s="233"/>
      <c r="F768" s="233"/>
      <c r="G768" s="233"/>
      <c r="H768" s="233"/>
    </row>
    <row r="769">
      <c r="A769" s="233"/>
      <c r="B769" s="233"/>
      <c r="C769" s="233"/>
      <c r="D769" s="233"/>
      <c r="E769" s="233"/>
      <c r="F769" s="233"/>
      <c r="G769" s="233"/>
      <c r="H769" s="233"/>
    </row>
    <row r="770">
      <c r="A770" s="233"/>
      <c r="B770" s="233"/>
      <c r="C770" s="233"/>
      <c r="D770" s="233"/>
      <c r="E770" s="233"/>
      <c r="F770" s="233"/>
      <c r="G770" s="233"/>
      <c r="H770" s="233"/>
    </row>
    <row r="771">
      <c r="A771" s="233"/>
      <c r="B771" s="233"/>
      <c r="C771" s="233"/>
      <c r="D771" s="233"/>
      <c r="E771" s="233"/>
      <c r="F771" s="233"/>
      <c r="G771" s="233"/>
      <c r="H771" s="233"/>
    </row>
    <row r="772">
      <c r="A772" s="233"/>
      <c r="B772" s="233"/>
      <c r="C772" s="233"/>
      <c r="D772" s="233"/>
      <c r="E772" s="233"/>
      <c r="F772" s="233"/>
      <c r="G772" s="233"/>
      <c r="H772" s="233"/>
    </row>
    <row r="773">
      <c r="A773" s="233"/>
      <c r="B773" s="233"/>
      <c r="C773" s="233"/>
      <c r="D773" s="233"/>
      <c r="E773" s="233"/>
      <c r="F773" s="233"/>
      <c r="G773" s="233"/>
      <c r="H773" s="233"/>
    </row>
    <row r="774">
      <c r="A774" s="233"/>
      <c r="B774" s="233"/>
      <c r="C774" s="233"/>
      <c r="D774" s="233"/>
      <c r="E774" s="233"/>
      <c r="F774" s="233"/>
      <c r="G774" s="233"/>
      <c r="H774" s="233"/>
    </row>
    <row r="775">
      <c r="A775" s="233"/>
      <c r="B775" s="233"/>
      <c r="C775" s="233"/>
      <c r="D775" s="233"/>
      <c r="E775" s="233"/>
      <c r="F775" s="233"/>
      <c r="G775" s="233"/>
      <c r="H775" s="233"/>
    </row>
    <row r="776">
      <c r="A776" s="233"/>
      <c r="B776" s="233"/>
      <c r="C776" s="233"/>
      <c r="D776" s="233"/>
      <c r="E776" s="233"/>
      <c r="F776" s="233"/>
      <c r="G776" s="233"/>
      <c r="H776" s="233"/>
    </row>
    <row r="777">
      <c r="A777" s="233"/>
      <c r="B777" s="233"/>
      <c r="C777" s="233"/>
      <c r="D777" s="233"/>
      <c r="E777" s="233"/>
      <c r="F777" s="233"/>
      <c r="G777" s="233"/>
      <c r="H777" s="233"/>
    </row>
    <row r="778">
      <c r="A778" s="233"/>
      <c r="B778" s="233"/>
      <c r="C778" s="233"/>
      <c r="D778" s="233"/>
      <c r="E778" s="233"/>
      <c r="F778" s="233"/>
      <c r="G778" s="233"/>
      <c r="H778" s="233"/>
    </row>
    <row r="779">
      <c r="A779" s="233"/>
      <c r="B779" s="233"/>
      <c r="C779" s="233"/>
      <c r="D779" s="233"/>
      <c r="E779" s="233"/>
      <c r="F779" s="233"/>
      <c r="G779" s="233"/>
      <c r="H779" s="233"/>
    </row>
    <row r="780">
      <c r="A780" s="233"/>
      <c r="B780" s="233"/>
      <c r="C780" s="233"/>
      <c r="D780" s="233"/>
      <c r="E780" s="233"/>
      <c r="F780" s="233"/>
      <c r="G780" s="233"/>
      <c r="H780" s="233"/>
    </row>
    <row r="781">
      <c r="A781" s="233"/>
      <c r="B781" s="233"/>
      <c r="C781" s="233"/>
      <c r="D781" s="233"/>
      <c r="E781" s="233"/>
      <c r="F781" s="233"/>
      <c r="G781" s="233"/>
      <c r="H781" s="233"/>
    </row>
    <row r="782">
      <c r="A782" s="233"/>
      <c r="B782" s="233"/>
      <c r="C782" s="233"/>
      <c r="D782" s="233"/>
      <c r="E782" s="233"/>
      <c r="F782" s="233"/>
      <c r="G782" s="233"/>
      <c r="H782" s="233"/>
    </row>
    <row r="783">
      <c r="A783" s="233"/>
      <c r="B783" s="233"/>
      <c r="C783" s="233"/>
      <c r="D783" s="233"/>
      <c r="E783" s="233"/>
      <c r="F783" s="233"/>
      <c r="G783" s="233"/>
      <c r="H783" s="233"/>
    </row>
    <row r="784">
      <c r="A784" s="233"/>
      <c r="B784" s="233"/>
      <c r="C784" s="233"/>
      <c r="D784" s="233"/>
      <c r="E784" s="233"/>
      <c r="F784" s="233"/>
      <c r="G784" s="233"/>
      <c r="H784" s="233"/>
    </row>
    <row r="785">
      <c r="A785" s="233"/>
      <c r="B785" s="233"/>
      <c r="C785" s="233"/>
      <c r="D785" s="233"/>
      <c r="E785" s="233"/>
      <c r="F785" s="233"/>
      <c r="G785" s="233"/>
      <c r="H785" s="233"/>
    </row>
    <row r="786">
      <c r="A786" s="233"/>
      <c r="B786" s="233"/>
      <c r="C786" s="233"/>
      <c r="D786" s="233"/>
      <c r="E786" s="233"/>
      <c r="F786" s="233"/>
      <c r="G786" s="233"/>
      <c r="H786" s="233"/>
    </row>
    <row r="787">
      <c r="A787" s="233"/>
      <c r="B787" s="233"/>
      <c r="C787" s="233"/>
      <c r="D787" s="233"/>
      <c r="E787" s="233"/>
      <c r="F787" s="233"/>
      <c r="G787" s="233"/>
      <c r="H787" s="233"/>
    </row>
    <row r="788">
      <c r="A788" s="233"/>
      <c r="B788" s="233"/>
      <c r="C788" s="233"/>
      <c r="D788" s="233"/>
      <c r="E788" s="233"/>
      <c r="F788" s="233"/>
      <c r="G788" s="233"/>
      <c r="H788" s="233"/>
    </row>
    <row r="789">
      <c r="A789" s="233"/>
      <c r="B789" s="233"/>
      <c r="C789" s="233"/>
      <c r="D789" s="233"/>
      <c r="E789" s="233"/>
      <c r="F789" s="233"/>
      <c r="G789" s="233"/>
      <c r="H789" s="233"/>
    </row>
    <row r="790">
      <c r="A790" s="233"/>
      <c r="B790" s="233"/>
      <c r="C790" s="233"/>
      <c r="D790" s="233"/>
      <c r="E790" s="233"/>
      <c r="F790" s="233"/>
      <c r="G790" s="233"/>
      <c r="H790" s="233"/>
    </row>
    <row r="791">
      <c r="A791" s="233"/>
      <c r="B791" s="233"/>
      <c r="C791" s="233"/>
      <c r="D791" s="233"/>
      <c r="E791" s="233"/>
      <c r="F791" s="233"/>
      <c r="G791" s="233"/>
      <c r="H791" s="233"/>
    </row>
    <row r="792">
      <c r="A792" s="233"/>
      <c r="B792" s="233"/>
      <c r="C792" s="233"/>
      <c r="D792" s="233"/>
      <c r="E792" s="233"/>
      <c r="F792" s="233"/>
      <c r="G792" s="233"/>
      <c r="H792" s="233"/>
    </row>
    <row r="793">
      <c r="A793" s="233"/>
      <c r="B793" s="233"/>
      <c r="C793" s="233"/>
      <c r="D793" s="233"/>
      <c r="E793" s="233"/>
      <c r="F793" s="233"/>
      <c r="G793" s="233"/>
      <c r="H793" s="233"/>
    </row>
    <row r="794">
      <c r="A794" s="233"/>
      <c r="B794" s="233"/>
      <c r="C794" s="233"/>
      <c r="D794" s="233"/>
      <c r="E794" s="233"/>
      <c r="F794" s="233"/>
      <c r="G794" s="233"/>
      <c r="H794" s="233"/>
    </row>
    <row r="795">
      <c r="A795" s="233"/>
      <c r="B795" s="233"/>
      <c r="C795" s="233"/>
      <c r="D795" s="233"/>
      <c r="E795" s="233"/>
      <c r="F795" s="233"/>
      <c r="G795" s="233"/>
      <c r="H795" s="233"/>
    </row>
    <row r="796">
      <c r="A796" s="233"/>
      <c r="B796" s="233"/>
      <c r="C796" s="233"/>
      <c r="D796" s="233"/>
      <c r="E796" s="233"/>
      <c r="F796" s="233"/>
      <c r="G796" s="233"/>
      <c r="H796" s="233"/>
    </row>
    <row r="797">
      <c r="A797" s="233"/>
      <c r="B797" s="233"/>
      <c r="C797" s="233"/>
      <c r="D797" s="233"/>
      <c r="E797" s="233"/>
      <c r="F797" s="233"/>
      <c r="G797" s="233"/>
      <c r="H797" s="233"/>
    </row>
    <row r="798">
      <c r="A798" s="233"/>
      <c r="B798" s="233"/>
      <c r="C798" s="233"/>
      <c r="D798" s="233"/>
      <c r="E798" s="233"/>
      <c r="F798" s="233"/>
      <c r="G798" s="233"/>
      <c r="H798" s="233"/>
    </row>
    <row r="799">
      <c r="A799" s="233"/>
      <c r="B799" s="233"/>
      <c r="C799" s="233"/>
      <c r="D799" s="233"/>
      <c r="E799" s="233"/>
      <c r="F799" s="233"/>
      <c r="G799" s="233"/>
      <c r="H799" s="233"/>
    </row>
    <row r="800">
      <c r="A800" s="233"/>
      <c r="B800" s="233"/>
      <c r="C800" s="233"/>
      <c r="D800" s="233"/>
      <c r="E800" s="233"/>
      <c r="F800" s="233"/>
      <c r="G800" s="233"/>
      <c r="H800" s="233"/>
    </row>
    <row r="801">
      <c r="A801" s="233"/>
      <c r="B801" s="233"/>
      <c r="C801" s="233"/>
      <c r="D801" s="233"/>
      <c r="E801" s="233"/>
      <c r="F801" s="233"/>
      <c r="G801" s="233"/>
      <c r="H801" s="233"/>
    </row>
    <row r="802">
      <c r="A802" s="233"/>
      <c r="B802" s="233"/>
      <c r="C802" s="233"/>
      <c r="D802" s="233"/>
      <c r="E802" s="233"/>
      <c r="F802" s="233"/>
      <c r="G802" s="233"/>
      <c r="H802" s="233"/>
    </row>
    <row r="803">
      <c r="A803" s="233"/>
      <c r="B803" s="233"/>
      <c r="C803" s="233"/>
      <c r="D803" s="233"/>
      <c r="E803" s="233"/>
      <c r="F803" s="233"/>
      <c r="G803" s="233"/>
      <c r="H803" s="233"/>
    </row>
    <row r="804">
      <c r="A804" s="233"/>
      <c r="B804" s="233"/>
      <c r="C804" s="233"/>
      <c r="D804" s="233"/>
      <c r="E804" s="233"/>
      <c r="F804" s="233"/>
      <c r="G804" s="233"/>
      <c r="H804" s="233"/>
    </row>
    <row r="805">
      <c r="A805" s="233"/>
      <c r="B805" s="233"/>
      <c r="C805" s="233"/>
      <c r="D805" s="233"/>
      <c r="E805" s="233"/>
      <c r="F805" s="233"/>
      <c r="G805" s="233"/>
      <c r="H805" s="233"/>
    </row>
    <row r="806">
      <c r="A806" s="233"/>
      <c r="B806" s="233"/>
      <c r="C806" s="233"/>
      <c r="D806" s="233"/>
      <c r="E806" s="233"/>
      <c r="F806" s="233"/>
      <c r="G806" s="233"/>
      <c r="H806" s="233"/>
    </row>
    <row r="807">
      <c r="A807" s="233"/>
      <c r="B807" s="233"/>
      <c r="C807" s="233"/>
      <c r="D807" s="233"/>
      <c r="E807" s="233"/>
      <c r="F807" s="233"/>
      <c r="G807" s="233"/>
      <c r="H807" s="233"/>
    </row>
    <row r="808">
      <c r="A808" s="233"/>
      <c r="B808" s="233"/>
      <c r="C808" s="233"/>
      <c r="D808" s="233"/>
      <c r="E808" s="233"/>
      <c r="F808" s="233"/>
      <c r="G808" s="233"/>
      <c r="H808" s="233"/>
    </row>
    <row r="809">
      <c r="A809" s="233"/>
      <c r="B809" s="233"/>
      <c r="C809" s="233"/>
      <c r="D809" s="233"/>
      <c r="E809" s="233"/>
      <c r="F809" s="233"/>
      <c r="G809" s="233"/>
      <c r="H809" s="233"/>
    </row>
    <row r="810">
      <c r="A810" s="233"/>
      <c r="B810" s="233"/>
      <c r="C810" s="233"/>
      <c r="D810" s="233"/>
      <c r="E810" s="233"/>
      <c r="F810" s="233"/>
      <c r="G810" s="233"/>
      <c r="H810" s="233"/>
    </row>
    <row r="811">
      <c r="A811" s="233"/>
      <c r="B811" s="233"/>
      <c r="C811" s="233"/>
      <c r="D811" s="233"/>
      <c r="E811" s="233"/>
      <c r="F811" s="233"/>
      <c r="G811" s="233"/>
      <c r="H811" s="233"/>
    </row>
    <row r="812">
      <c r="A812" s="233"/>
      <c r="B812" s="233"/>
      <c r="C812" s="233"/>
      <c r="D812" s="233"/>
      <c r="E812" s="233"/>
      <c r="F812" s="233"/>
      <c r="G812" s="233"/>
      <c r="H812" s="233"/>
    </row>
    <row r="813">
      <c r="A813" s="233"/>
      <c r="B813" s="233"/>
      <c r="C813" s="233"/>
      <c r="D813" s="233"/>
      <c r="E813" s="233"/>
      <c r="F813" s="233"/>
      <c r="G813" s="233"/>
      <c r="H813" s="233"/>
    </row>
    <row r="814">
      <c r="A814" s="233"/>
      <c r="B814" s="233"/>
      <c r="C814" s="233"/>
      <c r="D814" s="233"/>
      <c r="E814" s="233"/>
      <c r="F814" s="233"/>
      <c r="G814" s="233"/>
      <c r="H814" s="233"/>
    </row>
    <row r="815">
      <c r="A815" s="233"/>
      <c r="B815" s="233"/>
      <c r="C815" s="233"/>
      <c r="D815" s="233"/>
      <c r="E815" s="233"/>
      <c r="F815" s="233"/>
      <c r="G815" s="233"/>
      <c r="H815" s="233"/>
    </row>
    <row r="816">
      <c r="A816" s="233"/>
      <c r="B816" s="233"/>
      <c r="C816" s="233"/>
      <c r="D816" s="233"/>
      <c r="E816" s="233"/>
      <c r="F816" s="233"/>
      <c r="G816" s="233"/>
      <c r="H816" s="233"/>
    </row>
    <row r="817">
      <c r="A817" s="233"/>
      <c r="B817" s="233"/>
      <c r="C817" s="233"/>
      <c r="D817" s="233"/>
      <c r="E817" s="233"/>
      <c r="F817" s="233"/>
      <c r="G817" s="233"/>
      <c r="H817" s="233"/>
    </row>
    <row r="818">
      <c r="A818" s="233"/>
      <c r="B818" s="233"/>
      <c r="C818" s="233"/>
      <c r="D818" s="233"/>
      <c r="E818" s="233"/>
      <c r="F818" s="233"/>
      <c r="G818" s="233"/>
      <c r="H818" s="233"/>
    </row>
    <row r="819">
      <c r="A819" s="233"/>
      <c r="B819" s="233"/>
      <c r="C819" s="233"/>
      <c r="D819" s="233"/>
      <c r="E819" s="233"/>
      <c r="F819" s="233"/>
      <c r="G819" s="233"/>
      <c r="H819" s="233"/>
    </row>
    <row r="820">
      <c r="A820" s="233"/>
      <c r="B820" s="233"/>
      <c r="C820" s="233"/>
      <c r="D820" s="233"/>
      <c r="E820" s="233"/>
      <c r="F820" s="233"/>
      <c r="G820" s="233"/>
      <c r="H820" s="233"/>
    </row>
    <row r="821">
      <c r="A821" s="233"/>
      <c r="B821" s="233"/>
      <c r="C821" s="233"/>
      <c r="D821" s="233"/>
      <c r="E821" s="233"/>
      <c r="F821" s="233"/>
      <c r="G821" s="233"/>
      <c r="H821" s="233"/>
    </row>
    <row r="822">
      <c r="A822" s="233"/>
      <c r="B822" s="233"/>
      <c r="C822" s="233"/>
      <c r="D822" s="233"/>
      <c r="E822" s="233"/>
      <c r="F822" s="233"/>
      <c r="G822" s="233"/>
      <c r="H822" s="233"/>
    </row>
    <row r="823">
      <c r="A823" s="233"/>
      <c r="B823" s="233"/>
      <c r="C823" s="233"/>
      <c r="D823" s="233"/>
      <c r="E823" s="233"/>
      <c r="F823" s="233"/>
      <c r="G823" s="233"/>
      <c r="H823" s="233"/>
    </row>
    <row r="824">
      <c r="A824" s="233"/>
      <c r="B824" s="233"/>
      <c r="C824" s="233"/>
      <c r="D824" s="233"/>
      <c r="E824" s="233"/>
      <c r="F824" s="233"/>
      <c r="G824" s="233"/>
      <c r="H824" s="233"/>
    </row>
    <row r="825">
      <c r="A825" s="233"/>
      <c r="B825" s="233"/>
      <c r="C825" s="233"/>
      <c r="D825" s="233"/>
      <c r="E825" s="233"/>
      <c r="F825" s="233"/>
      <c r="G825" s="233"/>
      <c r="H825" s="233"/>
    </row>
    <row r="826">
      <c r="A826" s="233"/>
      <c r="B826" s="233"/>
      <c r="C826" s="233"/>
      <c r="D826" s="233"/>
      <c r="E826" s="233"/>
      <c r="F826" s="233"/>
      <c r="G826" s="233"/>
      <c r="H826" s="233"/>
    </row>
    <row r="827">
      <c r="A827" s="233"/>
      <c r="B827" s="233"/>
      <c r="C827" s="233"/>
      <c r="D827" s="233"/>
      <c r="E827" s="233"/>
      <c r="F827" s="233"/>
      <c r="G827" s="233"/>
      <c r="H827" s="233"/>
    </row>
    <row r="828">
      <c r="A828" s="233"/>
      <c r="B828" s="233"/>
      <c r="C828" s="233"/>
      <c r="D828" s="233"/>
      <c r="E828" s="233"/>
      <c r="F828" s="233"/>
      <c r="G828" s="233"/>
      <c r="H828" s="233"/>
    </row>
    <row r="829">
      <c r="A829" s="233"/>
      <c r="B829" s="233"/>
      <c r="C829" s="233"/>
      <c r="D829" s="233"/>
      <c r="E829" s="233"/>
      <c r="F829" s="233"/>
      <c r="G829" s="233"/>
      <c r="H829" s="233"/>
    </row>
    <row r="830">
      <c r="A830" s="233"/>
      <c r="B830" s="233"/>
      <c r="C830" s="233"/>
      <c r="D830" s="233"/>
      <c r="E830" s="233"/>
      <c r="F830" s="233"/>
      <c r="G830" s="233"/>
      <c r="H830" s="233"/>
    </row>
    <row r="831">
      <c r="A831" s="233"/>
      <c r="B831" s="233"/>
      <c r="C831" s="233"/>
      <c r="D831" s="233"/>
      <c r="E831" s="233"/>
      <c r="F831" s="233"/>
      <c r="G831" s="233"/>
      <c r="H831" s="233"/>
    </row>
    <row r="832">
      <c r="A832" s="233"/>
      <c r="B832" s="233"/>
      <c r="C832" s="233"/>
      <c r="D832" s="233"/>
      <c r="E832" s="233"/>
      <c r="F832" s="233"/>
      <c r="G832" s="233"/>
      <c r="H832" s="233"/>
    </row>
    <row r="833">
      <c r="A833" s="233"/>
      <c r="B833" s="233"/>
      <c r="C833" s="233"/>
      <c r="D833" s="233"/>
      <c r="E833" s="233"/>
      <c r="F833" s="233"/>
      <c r="G833" s="233"/>
      <c r="H833" s="233"/>
    </row>
    <row r="834">
      <c r="A834" s="233"/>
      <c r="B834" s="233"/>
      <c r="C834" s="233"/>
      <c r="D834" s="233"/>
      <c r="E834" s="233"/>
      <c r="F834" s="233"/>
      <c r="G834" s="233"/>
      <c r="H834" s="233"/>
    </row>
    <row r="835">
      <c r="A835" s="233"/>
      <c r="B835" s="233"/>
      <c r="C835" s="233"/>
      <c r="D835" s="233"/>
      <c r="E835" s="233"/>
      <c r="F835" s="233"/>
      <c r="G835" s="233"/>
      <c r="H835" s="233"/>
    </row>
    <row r="836">
      <c r="A836" s="233"/>
      <c r="B836" s="233"/>
      <c r="C836" s="233"/>
      <c r="D836" s="233"/>
      <c r="E836" s="233"/>
      <c r="F836" s="233"/>
      <c r="G836" s="233"/>
      <c r="H836" s="233"/>
    </row>
    <row r="837">
      <c r="A837" s="233"/>
      <c r="B837" s="233"/>
      <c r="C837" s="233"/>
      <c r="D837" s="233"/>
      <c r="E837" s="233"/>
      <c r="F837" s="233"/>
      <c r="G837" s="233"/>
      <c r="H837" s="233"/>
    </row>
    <row r="838">
      <c r="A838" s="233"/>
      <c r="B838" s="233"/>
      <c r="C838" s="233"/>
      <c r="D838" s="233"/>
      <c r="E838" s="233"/>
      <c r="F838" s="233"/>
      <c r="G838" s="233"/>
      <c r="H838" s="233"/>
    </row>
    <row r="839">
      <c r="A839" s="233"/>
      <c r="B839" s="233"/>
      <c r="C839" s="233"/>
      <c r="D839" s="233"/>
      <c r="E839" s="233"/>
      <c r="F839" s="233"/>
      <c r="G839" s="233"/>
      <c r="H839" s="233"/>
    </row>
    <row r="840">
      <c r="A840" s="233"/>
      <c r="B840" s="233"/>
      <c r="C840" s="233"/>
      <c r="D840" s="233"/>
      <c r="E840" s="233"/>
      <c r="F840" s="233"/>
      <c r="G840" s="233"/>
      <c r="H840" s="233"/>
    </row>
    <row r="841">
      <c r="A841" s="233"/>
      <c r="B841" s="233"/>
      <c r="C841" s="233"/>
      <c r="D841" s="233"/>
      <c r="E841" s="233"/>
      <c r="F841" s="233"/>
      <c r="G841" s="233"/>
      <c r="H841" s="233"/>
    </row>
    <row r="842">
      <c r="A842" s="233"/>
      <c r="B842" s="233"/>
      <c r="C842" s="233"/>
      <c r="D842" s="233"/>
      <c r="E842" s="233"/>
      <c r="F842" s="233"/>
      <c r="G842" s="233"/>
      <c r="H842" s="233"/>
    </row>
    <row r="843">
      <c r="A843" s="233"/>
      <c r="B843" s="233"/>
      <c r="C843" s="233"/>
      <c r="D843" s="233"/>
      <c r="E843" s="233"/>
      <c r="F843" s="233"/>
      <c r="G843" s="233"/>
      <c r="H843" s="233"/>
    </row>
    <row r="844">
      <c r="A844" s="233"/>
      <c r="B844" s="233"/>
      <c r="C844" s="233"/>
      <c r="D844" s="233"/>
      <c r="E844" s="233"/>
      <c r="F844" s="233"/>
      <c r="G844" s="233"/>
      <c r="H844" s="233"/>
    </row>
    <row r="845">
      <c r="A845" s="233"/>
      <c r="B845" s="233"/>
      <c r="C845" s="233"/>
      <c r="D845" s="233"/>
      <c r="E845" s="233"/>
      <c r="F845" s="233"/>
      <c r="G845" s="233"/>
      <c r="H845" s="233"/>
    </row>
    <row r="846">
      <c r="A846" s="233"/>
      <c r="B846" s="233"/>
      <c r="C846" s="233"/>
      <c r="D846" s="233"/>
      <c r="E846" s="233"/>
      <c r="F846" s="233"/>
      <c r="G846" s="233"/>
      <c r="H846" s="233"/>
    </row>
    <row r="847">
      <c r="A847" s="233"/>
      <c r="B847" s="233"/>
      <c r="C847" s="233"/>
      <c r="D847" s="233"/>
      <c r="E847" s="233"/>
      <c r="F847" s="233"/>
      <c r="G847" s="233"/>
      <c r="H847" s="233"/>
    </row>
    <row r="848">
      <c r="A848" s="233"/>
      <c r="B848" s="233"/>
      <c r="C848" s="233"/>
      <c r="D848" s="233"/>
      <c r="E848" s="233"/>
      <c r="F848" s="233"/>
      <c r="G848" s="233"/>
      <c r="H848" s="233"/>
    </row>
    <row r="849">
      <c r="A849" s="233"/>
      <c r="B849" s="233"/>
      <c r="C849" s="233"/>
      <c r="D849" s="233"/>
      <c r="E849" s="233"/>
      <c r="F849" s="233"/>
      <c r="G849" s="233"/>
      <c r="H849" s="233"/>
    </row>
    <row r="850">
      <c r="A850" s="233"/>
      <c r="B850" s="233"/>
      <c r="C850" s="233"/>
      <c r="D850" s="233"/>
      <c r="E850" s="233"/>
      <c r="F850" s="233"/>
      <c r="G850" s="233"/>
      <c r="H850" s="233"/>
    </row>
    <row r="851">
      <c r="A851" s="233"/>
      <c r="B851" s="233"/>
      <c r="C851" s="233"/>
      <c r="D851" s="233"/>
      <c r="E851" s="233"/>
      <c r="F851" s="233"/>
      <c r="G851" s="233"/>
      <c r="H851" s="233"/>
    </row>
    <row r="852">
      <c r="A852" s="233"/>
      <c r="B852" s="233"/>
      <c r="C852" s="233"/>
      <c r="D852" s="233"/>
      <c r="E852" s="233"/>
      <c r="F852" s="233"/>
      <c r="G852" s="233"/>
      <c r="H852" s="233"/>
    </row>
    <row r="853">
      <c r="A853" s="233"/>
      <c r="B853" s="233"/>
      <c r="C853" s="233"/>
      <c r="D853" s="233"/>
      <c r="E853" s="233"/>
      <c r="F853" s="233"/>
      <c r="G853" s="233"/>
      <c r="H853" s="233"/>
    </row>
    <row r="854">
      <c r="A854" s="233"/>
      <c r="B854" s="233"/>
      <c r="C854" s="233"/>
      <c r="D854" s="233"/>
      <c r="E854" s="233"/>
      <c r="F854" s="233"/>
      <c r="G854" s="233"/>
      <c r="H854" s="233"/>
    </row>
    <row r="855">
      <c r="A855" s="233"/>
      <c r="B855" s="233"/>
      <c r="C855" s="233"/>
      <c r="D855" s="233"/>
      <c r="E855" s="233"/>
      <c r="F855" s="233"/>
      <c r="G855" s="233"/>
      <c r="H855" s="233"/>
    </row>
    <row r="856">
      <c r="A856" s="233"/>
      <c r="B856" s="233"/>
      <c r="C856" s="233"/>
      <c r="D856" s="233"/>
      <c r="E856" s="233"/>
      <c r="F856" s="233"/>
      <c r="G856" s="233"/>
      <c r="H856" s="233"/>
    </row>
    <row r="857">
      <c r="A857" s="233"/>
      <c r="B857" s="233"/>
      <c r="C857" s="233"/>
      <c r="D857" s="233"/>
      <c r="E857" s="233"/>
      <c r="F857" s="233"/>
      <c r="G857" s="233"/>
      <c r="H857" s="233"/>
    </row>
    <row r="858">
      <c r="A858" s="233"/>
      <c r="B858" s="233"/>
      <c r="C858" s="233"/>
      <c r="D858" s="233"/>
      <c r="E858" s="233"/>
      <c r="F858" s="233"/>
      <c r="G858" s="233"/>
      <c r="H858" s="233"/>
    </row>
    <row r="859">
      <c r="A859" s="233"/>
      <c r="B859" s="233"/>
      <c r="C859" s="233"/>
      <c r="D859" s="233"/>
      <c r="E859" s="233"/>
      <c r="F859" s="233"/>
      <c r="G859" s="233"/>
      <c r="H859" s="233"/>
    </row>
    <row r="860">
      <c r="A860" s="233"/>
      <c r="B860" s="233"/>
      <c r="C860" s="233"/>
      <c r="D860" s="233"/>
      <c r="E860" s="233"/>
      <c r="F860" s="233"/>
      <c r="G860" s="233"/>
      <c r="H860" s="233"/>
    </row>
    <row r="861">
      <c r="A861" s="233"/>
      <c r="B861" s="233"/>
      <c r="C861" s="233"/>
      <c r="D861" s="233"/>
      <c r="E861" s="233"/>
      <c r="F861" s="233"/>
      <c r="G861" s="233"/>
      <c r="H861" s="233"/>
    </row>
    <row r="862">
      <c r="A862" s="233"/>
      <c r="B862" s="233"/>
      <c r="C862" s="233"/>
      <c r="D862" s="233"/>
      <c r="E862" s="233"/>
      <c r="F862" s="233"/>
      <c r="G862" s="233"/>
      <c r="H862" s="233"/>
    </row>
    <row r="863">
      <c r="A863" s="233"/>
      <c r="B863" s="233"/>
      <c r="C863" s="233"/>
      <c r="D863" s="233"/>
      <c r="E863" s="233"/>
      <c r="F863" s="233"/>
      <c r="G863" s="233"/>
      <c r="H863" s="233"/>
    </row>
    <row r="864">
      <c r="A864" s="233"/>
      <c r="B864" s="233"/>
      <c r="C864" s="233"/>
      <c r="D864" s="233"/>
      <c r="E864" s="233"/>
      <c r="F864" s="233"/>
      <c r="G864" s="233"/>
      <c r="H864" s="233"/>
    </row>
    <row r="865">
      <c r="A865" s="233"/>
      <c r="B865" s="233"/>
      <c r="C865" s="233"/>
      <c r="D865" s="233"/>
      <c r="E865" s="233"/>
      <c r="F865" s="233"/>
      <c r="G865" s="233"/>
      <c r="H865" s="233"/>
    </row>
    <row r="866">
      <c r="A866" s="233"/>
      <c r="B866" s="233"/>
      <c r="C866" s="233"/>
      <c r="D866" s="233"/>
      <c r="E866" s="233"/>
      <c r="F866" s="233"/>
      <c r="G866" s="233"/>
      <c r="H866" s="233"/>
    </row>
    <row r="867">
      <c r="A867" s="233"/>
      <c r="B867" s="233"/>
      <c r="C867" s="233"/>
      <c r="D867" s="233"/>
      <c r="E867" s="233"/>
      <c r="F867" s="233"/>
      <c r="G867" s="233"/>
      <c r="H867" s="233"/>
    </row>
    <row r="868">
      <c r="A868" s="233"/>
      <c r="B868" s="233"/>
      <c r="C868" s="233"/>
      <c r="D868" s="233"/>
      <c r="E868" s="233"/>
      <c r="F868" s="233"/>
      <c r="G868" s="233"/>
      <c r="H868" s="233"/>
    </row>
    <row r="869">
      <c r="A869" s="233"/>
      <c r="B869" s="233"/>
      <c r="C869" s="233"/>
      <c r="D869" s="233"/>
      <c r="E869" s="233"/>
      <c r="F869" s="233"/>
      <c r="G869" s="233"/>
      <c r="H869" s="233"/>
    </row>
    <row r="870">
      <c r="A870" s="233"/>
      <c r="B870" s="233"/>
      <c r="C870" s="233"/>
      <c r="D870" s="233"/>
      <c r="E870" s="233"/>
      <c r="F870" s="233"/>
      <c r="G870" s="233"/>
      <c r="H870" s="233"/>
    </row>
    <row r="871">
      <c r="A871" s="233"/>
      <c r="B871" s="233"/>
      <c r="C871" s="233"/>
      <c r="D871" s="233"/>
      <c r="E871" s="233"/>
      <c r="F871" s="233"/>
      <c r="G871" s="233"/>
      <c r="H871" s="233"/>
    </row>
    <row r="872">
      <c r="A872" s="233"/>
      <c r="B872" s="233"/>
      <c r="C872" s="233"/>
      <c r="D872" s="233"/>
      <c r="E872" s="233"/>
      <c r="F872" s="233"/>
      <c r="G872" s="233"/>
      <c r="H872" s="233"/>
    </row>
    <row r="873">
      <c r="A873" s="233"/>
      <c r="B873" s="233"/>
      <c r="C873" s="233"/>
      <c r="D873" s="233"/>
      <c r="E873" s="233"/>
      <c r="F873" s="233"/>
      <c r="G873" s="233"/>
      <c r="H873" s="233"/>
    </row>
    <row r="874">
      <c r="A874" s="233"/>
      <c r="B874" s="233"/>
      <c r="C874" s="233"/>
      <c r="D874" s="233"/>
      <c r="E874" s="233"/>
      <c r="F874" s="233"/>
      <c r="G874" s="233"/>
      <c r="H874" s="233"/>
    </row>
    <row r="875">
      <c r="A875" s="233"/>
      <c r="B875" s="233"/>
      <c r="C875" s="233"/>
      <c r="D875" s="233"/>
      <c r="E875" s="233"/>
      <c r="F875" s="233"/>
      <c r="G875" s="233"/>
      <c r="H875" s="233"/>
    </row>
    <row r="876">
      <c r="A876" s="233"/>
      <c r="B876" s="233"/>
      <c r="C876" s="233"/>
      <c r="D876" s="233"/>
      <c r="E876" s="233"/>
      <c r="F876" s="233"/>
      <c r="G876" s="233"/>
      <c r="H876" s="233"/>
    </row>
    <row r="877">
      <c r="A877" s="233"/>
      <c r="B877" s="233"/>
      <c r="C877" s="233"/>
      <c r="D877" s="233"/>
      <c r="E877" s="233"/>
      <c r="F877" s="233"/>
      <c r="G877" s="233"/>
      <c r="H877" s="233"/>
    </row>
    <row r="878">
      <c r="A878" s="233"/>
      <c r="B878" s="233"/>
      <c r="C878" s="233"/>
      <c r="D878" s="233"/>
      <c r="E878" s="233"/>
      <c r="F878" s="233"/>
      <c r="G878" s="233"/>
      <c r="H878" s="233"/>
    </row>
    <row r="879">
      <c r="A879" s="233"/>
      <c r="B879" s="233"/>
      <c r="C879" s="233"/>
      <c r="D879" s="233"/>
      <c r="E879" s="233"/>
      <c r="F879" s="233"/>
      <c r="G879" s="233"/>
      <c r="H879" s="233"/>
    </row>
    <row r="880">
      <c r="A880" s="233"/>
      <c r="B880" s="233"/>
      <c r="C880" s="233"/>
      <c r="D880" s="233"/>
      <c r="E880" s="233"/>
      <c r="F880" s="233"/>
      <c r="G880" s="233"/>
      <c r="H880" s="233"/>
    </row>
    <row r="881">
      <c r="A881" s="233"/>
      <c r="B881" s="233"/>
      <c r="C881" s="233"/>
      <c r="D881" s="233"/>
      <c r="E881" s="233"/>
      <c r="F881" s="233"/>
      <c r="G881" s="233"/>
      <c r="H881" s="233"/>
    </row>
    <row r="882">
      <c r="A882" s="233"/>
      <c r="B882" s="233"/>
      <c r="C882" s="233"/>
      <c r="D882" s="233"/>
      <c r="E882" s="233"/>
      <c r="F882" s="233"/>
      <c r="G882" s="233"/>
      <c r="H882" s="233"/>
    </row>
    <row r="883">
      <c r="A883" s="233"/>
      <c r="B883" s="233"/>
      <c r="C883" s="233"/>
      <c r="D883" s="233"/>
      <c r="E883" s="233"/>
      <c r="F883" s="233"/>
      <c r="G883" s="233"/>
      <c r="H883" s="233"/>
    </row>
    <row r="884">
      <c r="A884" s="233"/>
      <c r="B884" s="233"/>
      <c r="C884" s="233"/>
      <c r="D884" s="233"/>
      <c r="E884" s="233"/>
      <c r="F884" s="233"/>
      <c r="G884" s="233"/>
      <c r="H884" s="233"/>
    </row>
    <row r="885">
      <c r="A885" s="233"/>
      <c r="B885" s="233"/>
      <c r="C885" s="233"/>
      <c r="D885" s="233"/>
      <c r="E885" s="233"/>
      <c r="F885" s="233"/>
      <c r="G885" s="233"/>
      <c r="H885" s="233"/>
    </row>
    <row r="886">
      <c r="A886" s="233"/>
      <c r="B886" s="233"/>
      <c r="C886" s="233"/>
      <c r="D886" s="233"/>
      <c r="E886" s="233"/>
      <c r="F886" s="233"/>
      <c r="G886" s="233"/>
      <c r="H886" s="233"/>
    </row>
    <row r="887">
      <c r="A887" s="233"/>
      <c r="B887" s="233"/>
      <c r="C887" s="233"/>
      <c r="D887" s="233"/>
      <c r="E887" s="233"/>
      <c r="F887" s="233"/>
      <c r="G887" s="233"/>
      <c r="H887" s="233"/>
    </row>
    <row r="888">
      <c r="A888" s="233"/>
      <c r="B888" s="233"/>
      <c r="C888" s="233"/>
      <c r="D888" s="233"/>
      <c r="E888" s="233"/>
      <c r="F888" s="233"/>
      <c r="G888" s="233"/>
      <c r="H888" s="233"/>
    </row>
    <row r="889">
      <c r="A889" s="233"/>
      <c r="B889" s="233"/>
      <c r="C889" s="233"/>
      <c r="D889" s="233"/>
      <c r="E889" s="233"/>
      <c r="F889" s="233"/>
      <c r="G889" s="233"/>
      <c r="H889" s="233"/>
    </row>
    <row r="890">
      <c r="A890" s="233"/>
      <c r="B890" s="233"/>
      <c r="C890" s="233"/>
      <c r="D890" s="233"/>
      <c r="E890" s="233"/>
      <c r="F890" s="233"/>
      <c r="G890" s="233"/>
      <c r="H890" s="233"/>
    </row>
    <row r="891">
      <c r="A891" s="233"/>
      <c r="B891" s="233"/>
      <c r="C891" s="233"/>
      <c r="D891" s="233"/>
      <c r="E891" s="233"/>
      <c r="F891" s="233"/>
      <c r="G891" s="233"/>
      <c r="H891" s="233"/>
    </row>
    <row r="892">
      <c r="A892" s="233"/>
      <c r="B892" s="233"/>
      <c r="C892" s="233"/>
      <c r="D892" s="233"/>
      <c r="E892" s="233"/>
      <c r="F892" s="233"/>
      <c r="G892" s="233"/>
      <c r="H892" s="233"/>
    </row>
    <row r="893">
      <c r="A893" s="233"/>
      <c r="B893" s="233"/>
      <c r="C893" s="233"/>
      <c r="D893" s="233"/>
      <c r="E893" s="233"/>
      <c r="F893" s="233"/>
      <c r="G893" s="233"/>
      <c r="H893" s="233"/>
    </row>
    <row r="894">
      <c r="A894" s="233"/>
      <c r="B894" s="233"/>
      <c r="C894" s="233"/>
      <c r="D894" s="233"/>
      <c r="E894" s="233"/>
      <c r="F894" s="233"/>
      <c r="G894" s="233"/>
      <c r="H894" s="233"/>
    </row>
    <row r="895">
      <c r="A895" s="233"/>
      <c r="B895" s="233"/>
      <c r="C895" s="233"/>
      <c r="D895" s="233"/>
      <c r="E895" s="233"/>
      <c r="F895" s="233"/>
      <c r="G895" s="233"/>
      <c r="H895" s="233"/>
    </row>
    <row r="896">
      <c r="A896" s="233"/>
      <c r="B896" s="233"/>
      <c r="C896" s="233"/>
      <c r="D896" s="233"/>
      <c r="E896" s="233"/>
      <c r="F896" s="233"/>
      <c r="G896" s="233"/>
      <c r="H896" s="233"/>
    </row>
    <row r="897">
      <c r="A897" s="233"/>
      <c r="B897" s="233"/>
      <c r="C897" s="233"/>
      <c r="D897" s="233"/>
      <c r="E897" s="233"/>
      <c r="F897" s="233"/>
      <c r="G897" s="233"/>
      <c r="H897" s="233"/>
    </row>
    <row r="898">
      <c r="A898" s="233"/>
      <c r="B898" s="233"/>
      <c r="C898" s="233"/>
      <c r="D898" s="233"/>
      <c r="E898" s="233"/>
      <c r="F898" s="233"/>
      <c r="G898" s="233"/>
      <c r="H898" s="233"/>
    </row>
    <row r="899">
      <c r="A899" s="233"/>
      <c r="B899" s="233"/>
      <c r="C899" s="233"/>
      <c r="D899" s="233"/>
      <c r="E899" s="233"/>
      <c r="F899" s="233"/>
      <c r="G899" s="233"/>
      <c r="H899" s="233"/>
    </row>
    <row r="900">
      <c r="A900" s="233"/>
      <c r="B900" s="233"/>
      <c r="C900" s="233"/>
      <c r="D900" s="233"/>
      <c r="E900" s="233"/>
      <c r="F900" s="233"/>
      <c r="G900" s="233"/>
      <c r="H900" s="233"/>
    </row>
    <row r="901">
      <c r="A901" s="233"/>
      <c r="B901" s="233"/>
      <c r="C901" s="233"/>
      <c r="D901" s="233"/>
      <c r="E901" s="233"/>
      <c r="F901" s="233"/>
      <c r="G901" s="233"/>
      <c r="H901" s="233"/>
    </row>
    <row r="902">
      <c r="A902" s="233"/>
      <c r="B902" s="233"/>
      <c r="C902" s="233"/>
      <c r="D902" s="233"/>
      <c r="E902" s="233"/>
      <c r="F902" s="233"/>
      <c r="G902" s="233"/>
      <c r="H902" s="233"/>
    </row>
    <row r="903">
      <c r="A903" s="233"/>
      <c r="B903" s="233"/>
      <c r="C903" s="233"/>
      <c r="D903" s="233"/>
      <c r="E903" s="233"/>
      <c r="F903" s="233"/>
      <c r="G903" s="233"/>
      <c r="H903" s="233"/>
    </row>
    <row r="904">
      <c r="A904" s="233"/>
      <c r="B904" s="233"/>
      <c r="C904" s="233"/>
      <c r="D904" s="233"/>
      <c r="E904" s="233"/>
      <c r="F904" s="233"/>
      <c r="G904" s="233"/>
      <c r="H904" s="233"/>
    </row>
    <row r="905">
      <c r="A905" s="233"/>
      <c r="B905" s="233"/>
      <c r="C905" s="233"/>
      <c r="D905" s="233"/>
      <c r="E905" s="233"/>
      <c r="F905" s="233"/>
      <c r="G905" s="233"/>
      <c r="H905" s="233"/>
    </row>
    <row r="906">
      <c r="A906" s="233"/>
      <c r="B906" s="233"/>
      <c r="C906" s="233"/>
      <c r="D906" s="233"/>
      <c r="E906" s="233"/>
      <c r="F906" s="233"/>
      <c r="G906" s="233"/>
      <c r="H906" s="233"/>
    </row>
    <row r="907">
      <c r="A907" s="233"/>
      <c r="B907" s="233"/>
      <c r="C907" s="233"/>
      <c r="D907" s="233"/>
      <c r="E907" s="233"/>
      <c r="F907" s="233"/>
      <c r="G907" s="233"/>
      <c r="H907" s="233"/>
    </row>
    <row r="908">
      <c r="A908" s="233"/>
      <c r="B908" s="233"/>
      <c r="C908" s="233"/>
      <c r="D908" s="233"/>
      <c r="E908" s="233"/>
      <c r="F908" s="233"/>
      <c r="G908" s="233"/>
      <c r="H908" s="233"/>
    </row>
    <row r="909">
      <c r="A909" s="233"/>
      <c r="B909" s="233"/>
      <c r="C909" s="233"/>
      <c r="D909" s="233"/>
      <c r="E909" s="233"/>
      <c r="F909" s="233"/>
      <c r="G909" s="233"/>
      <c r="H909" s="233"/>
    </row>
    <row r="910">
      <c r="A910" s="233"/>
      <c r="B910" s="233"/>
      <c r="C910" s="233"/>
      <c r="D910" s="233"/>
      <c r="E910" s="233"/>
      <c r="F910" s="233"/>
      <c r="G910" s="233"/>
      <c r="H910" s="233"/>
    </row>
    <row r="911">
      <c r="A911" s="233"/>
      <c r="B911" s="233"/>
      <c r="C911" s="233"/>
      <c r="D911" s="233"/>
      <c r="E911" s="233"/>
      <c r="F911" s="233"/>
      <c r="G911" s="233"/>
      <c r="H911" s="233"/>
    </row>
    <row r="912">
      <c r="A912" s="233"/>
      <c r="B912" s="233"/>
      <c r="C912" s="233"/>
      <c r="D912" s="233"/>
      <c r="E912" s="233"/>
      <c r="F912" s="233"/>
      <c r="G912" s="233"/>
      <c r="H912" s="233"/>
    </row>
    <row r="913">
      <c r="A913" s="233"/>
      <c r="B913" s="233"/>
      <c r="C913" s="233"/>
      <c r="D913" s="233"/>
      <c r="E913" s="233"/>
      <c r="F913" s="233"/>
      <c r="G913" s="233"/>
      <c r="H913" s="233"/>
    </row>
    <row r="914">
      <c r="A914" s="233"/>
      <c r="B914" s="233"/>
      <c r="C914" s="233"/>
      <c r="D914" s="233"/>
      <c r="E914" s="233"/>
      <c r="F914" s="233"/>
      <c r="G914" s="233"/>
      <c r="H914" s="233"/>
    </row>
    <row r="915">
      <c r="A915" s="233"/>
      <c r="B915" s="233"/>
      <c r="C915" s="233"/>
      <c r="D915" s="233"/>
      <c r="E915" s="233"/>
      <c r="F915" s="233"/>
      <c r="G915" s="233"/>
      <c r="H915" s="233"/>
    </row>
    <row r="916">
      <c r="A916" s="233"/>
      <c r="B916" s="233"/>
      <c r="C916" s="233"/>
      <c r="D916" s="233"/>
      <c r="E916" s="233"/>
      <c r="F916" s="233"/>
      <c r="G916" s="233"/>
      <c r="H916" s="233"/>
    </row>
    <row r="917">
      <c r="A917" s="233"/>
      <c r="B917" s="233"/>
      <c r="C917" s="233"/>
      <c r="D917" s="233"/>
      <c r="E917" s="233"/>
      <c r="F917" s="233"/>
      <c r="G917" s="233"/>
      <c r="H917" s="233"/>
    </row>
    <row r="918">
      <c r="A918" s="233"/>
      <c r="B918" s="233"/>
      <c r="C918" s="233"/>
      <c r="D918" s="233"/>
      <c r="E918" s="233"/>
      <c r="F918" s="233"/>
      <c r="G918" s="233"/>
      <c r="H918" s="233"/>
    </row>
    <row r="919">
      <c r="A919" s="233"/>
      <c r="B919" s="233"/>
      <c r="C919" s="233"/>
      <c r="D919" s="233"/>
      <c r="E919" s="233"/>
      <c r="F919" s="233"/>
      <c r="G919" s="233"/>
      <c r="H919" s="233"/>
    </row>
    <row r="920">
      <c r="A920" s="233"/>
      <c r="B920" s="233"/>
      <c r="C920" s="233"/>
      <c r="D920" s="233"/>
      <c r="E920" s="233"/>
      <c r="F920" s="233"/>
      <c r="G920" s="233"/>
      <c r="H920" s="233"/>
    </row>
    <row r="921">
      <c r="A921" s="233"/>
      <c r="B921" s="233"/>
      <c r="C921" s="233"/>
      <c r="D921" s="233"/>
      <c r="E921" s="233"/>
      <c r="F921" s="233"/>
      <c r="G921" s="233"/>
      <c r="H921" s="233"/>
    </row>
    <row r="922">
      <c r="A922" s="233"/>
      <c r="B922" s="233"/>
      <c r="C922" s="233"/>
      <c r="D922" s="233"/>
      <c r="E922" s="233"/>
      <c r="F922" s="233"/>
      <c r="G922" s="233"/>
      <c r="H922" s="233"/>
    </row>
    <row r="923">
      <c r="A923" s="233"/>
      <c r="B923" s="233"/>
      <c r="C923" s="233"/>
      <c r="D923" s="233"/>
      <c r="E923" s="233"/>
      <c r="F923" s="233"/>
      <c r="G923" s="233"/>
      <c r="H923" s="233"/>
    </row>
    <row r="924">
      <c r="A924" s="233"/>
      <c r="B924" s="233"/>
      <c r="C924" s="233"/>
      <c r="D924" s="233"/>
      <c r="E924" s="233"/>
      <c r="F924" s="233"/>
      <c r="G924" s="233"/>
      <c r="H924" s="233"/>
    </row>
    <row r="925">
      <c r="A925" s="233"/>
      <c r="B925" s="233"/>
      <c r="C925" s="233"/>
      <c r="D925" s="233"/>
      <c r="E925" s="233"/>
      <c r="F925" s="233"/>
      <c r="G925" s="233"/>
      <c r="H925" s="233"/>
    </row>
    <row r="926">
      <c r="A926" s="233"/>
      <c r="B926" s="233"/>
      <c r="C926" s="233"/>
      <c r="D926" s="233"/>
      <c r="E926" s="233"/>
      <c r="F926" s="233"/>
      <c r="G926" s="233"/>
      <c r="H926" s="233"/>
    </row>
    <row r="927">
      <c r="A927" s="233"/>
      <c r="B927" s="233"/>
      <c r="C927" s="233"/>
      <c r="D927" s="233"/>
      <c r="E927" s="233"/>
      <c r="F927" s="233"/>
      <c r="G927" s="233"/>
      <c r="H927" s="233"/>
    </row>
    <row r="928">
      <c r="A928" s="233"/>
      <c r="B928" s="233"/>
      <c r="C928" s="233"/>
      <c r="D928" s="233"/>
      <c r="E928" s="233"/>
      <c r="F928" s="233"/>
      <c r="G928" s="233"/>
      <c r="H928" s="233"/>
    </row>
    <row r="929">
      <c r="A929" s="233"/>
      <c r="B929" s="233"/>
      <c r="C929" s="233"/>
      <c r="D929" s="233"/>
      <c r="E929" s="233"/>
      <c r="F929" s="233"/>
      <c r="G929" s="233"/>
      <c r="H929" s="233"/>
    </row>
    <row r="930">
      <c r="A930" s="233"/>
      <c r="B930" s="233"/>
      <c r="C930" s="233"/>
      <c r="D930" s="233"/>
      <c r="E930" s="233"/>
      <c r="F930" s="233"/>
      <c r="G930" s="233"/>
      <c r="H930" s="233"/>
    </row>
    <row r="931">
      <c r="A931" s="233"/>
      <c r="B931" s="233"/>
      <c r="C931" s="233"/>
      <c r="D931" s="233"/>
      <c r="E931" s="233"/>
      <c r="F931" s="233"/>
      <c r="G931" s="233"/>
      <c r="H931" s="233"/>
    </row>
    <row r="932">
      <c r="A932" s="233"/>
      <c r="B932" s="233"/>
      <c r="C932" s="233"/>
      <c r="D932" s="233"/>
      <c r="E932" s="233"/>
      <c r="F932" s="233"/>
      <c r="G932" s="233"/>
      <c r="H932" s="233"/>
    </row>
    <row r="933">
      <c r="A933" s="233"/>
      <c r="B933" s="233"/>
      <c r="C933" s="233"/>
      <c r="D933" s="233"/>
      <c r="E933" s="233"/>
      <c r="F933" s="233"/>
      <c r="G933" s="233"/>
      <c r="H933" s="233"/>
    </row>
    <row r="934">
      <c r="A934" s="233"/>
      <c r="B934" s="233"/>
      <c r="C934" s="233"/>
      <c r="D934" s="233"/>
      <c r="E934" s="233"/>
      <c r="F934" s="233"/>
      <c r="G934" s="233"/>
      <c r="H934" s="233"/>
    </row>
    <row r="935">
      <c r="A935" s="233"/>
      <c r="B935" s="233"/>
      <c r="C935" s="233"/>
      <c r="D935" s="233"/>
      <c r="E935" s="233"/>
      <c r="F935" s="233"/>
      <c r="G935" s="233"/>
      <c r="H935" s="233"/>
    </row>
    <row r="936">
      <c r="A936" s="233"/>
      <c r="B936" s="233"/>
      <c r="C936" s="233"/>
      <c r="D936" s="233"/>
      <c r="E936" s="233"/>
      <c r="F936" s="233"/>
      <c r="G936" s="233"/>
      <c r="H936" s="233"/>
    </row>
    <row r="937">
      <c r="A937" s="233"/>
      <c r="B937" s="233"/>
      <c r="C937" s="233"/>
      <c r="D937" s="233"/>
      <c r="E937" s="233"/>
      <c r="F937" s="233"/>
      <c r="G937" s="233"/>
      <c r="H937" s="233"/>
    </row>
    <row r="938">
      <c r="A938" s="233"/>
      <c r="B938" s="233"/>
      <c r="C938" s="233"/>
      <c r="D938" s="233"/>
      <c r="E938" s="233"/>
      <c r="F938" s="233"/>
      <c r="G938" s="233"/>
      <c r="H938" s="233"/>
    </row>
    <row r="939">
      <c r="A939" s="233"/>
      <c r="B939" s="233"/>
      <c r="C939" s="233"/>
      <c r="D939" s="233"/>
      <c r="E939" s="233"/>
      <c r="F939" s="233"/>
      <c r="G939" s="233"/>
      <c r="H939" s="233"/>
    </row>
    <row r="940">
      <c r="A940" s="233"/>
      <c r="B940" s="233"/>
      <c r="C940" s="233"/>
      <c r="D940" s="233"/>
      <c r="E940" s="233"/>
      <c r="F940" s="233"/>
      <c r="G940" s="233"/>
      <c r="H940" s="233"/>
    </row>
    <row r="941">
      <c r="A941" s="233"/>
      <c r="B941" s="233"/>
      <c r="C941" s="233"/>
      <c r="D941" s="233"/>
      <c r="E941" s="233"/>
      <c r="F941" s="233"/>
      <c r="G941" s="233"/>
      <c r="H941" s="233"/>
    </row>
    <row r="942">
      <c r="A942" s="233"/>
      <c r="B942" s="233"/>
      <c r="C942" s="233"/>
      <c r="D942" s="233"/>
      <c r="E942" s="233"/>
      <c r="F942" s="233"/>
      <c r="G942" s="233"/>
      <c r="H942" s="233"/>
    </row>
    <row r="943">
      <c r="A943" s="233"/>
      <c r="B943" s="233"/>
      <c r="C943" s="233"/>
      <c r="D943" s="233"/>
      <c r="E943" s="233"/>
      <c r="F943" s="233"/>
      <c r="G943" s="233"/>
      <c r="H943" s="233"/>
    </row>
    <row r="944">
      <c r="A944" s="233"/>
      <c r="B944" s="233"/>
      <c r="C944" s="233"/>
      <c r="D944" s="233"/>
      <c r="E944" s="233"/>
      <c r="F944" s="233"/>
      <c r="G944" s="233"/>
      <c r="H944" s="233"/>
    </row>
    <row r="945">
      <c r="A945" s="233"/>
      <c r="B945" s="233"/>
      <c r="C945" s="233"/>
      <c r="D945" s="233"/>
      <c r="E945" s="233"/>
      <c r="F945" s="233"/>
      <c r="G945" s="233"/>
      <c r="H945" s="233"/>
    </row>
    <row r="946">
      <c r="A946" s="233"/>
      <c r="B946" s="233"/>
      <c r="C946" s="233"/>
      <c r="D946" s="233"/>
      <c r="E946" s="233"/>
      <c r="F946" s="233"/>
      <c r="G946" s="233"/>
      <c r="H946" s="233"/>
    </row>
    <row r="947">
      <c r="A947" s="233"/>
      <c r="B947" s="233"/>
      <c r="C947" s="233"/>
      <c r="D947" s="233"/>
      <c r="E947" s="233"/>
      <c r="F947" s="233"/>
      <c r="G947" s="233"/>
      <c r="H947" s="233"/>
    </row>
    <row r="948">
      <c r="A948" s="233"/>
      <c r="B948" s="233"/>
      <c r="C948" s="233"/>
      <c r="D948" s="233"/>
      <c r="E948" s="233"/>
      <c r="F948" s="233"/>
      <c r="G948" s="233"/>
      <c r="H948" s="233"/>
    </row>
    <row r="949">
      <c r="A949" s="233"/>
      <c r="B949" s="233"/>
      <c r="C949" s="233"/>
      <c r="D949" s="233"/>
      <c r="E949" s="233"/>
      <c r="F949" s="233"/>
      <c r="G949" s="233"/>
      <c r="H949" s="233"/>
    </row>
    <row r="950">
      <c r="A950" s="233"/>
      <c r="B950" s="233"/>
      <c r="C950" s="233"/>
      <c r="D950" s="233"/>
      <c r="E950" s="233"/>
      <c r="F950" s="233"/>
      <c r="G950" s="233"/>
      <c r="H950" s="233"/>
    </row>
    <row r="951">
      <c r="A951" s="233"/>
      <c r="B951" s="233"/>
      <c r="C951" s="233"/>
      <c r="D951" s="233"/>
      <c r="E951" s="233"/>
      <c r="F951" s="233"/>
      <c r="G951" s="233"/>
      <c r="H951" s="233"/>
    </row>
    <row r="952">
      <c r="A952" s="233"/>
      <c r="B952" s="233"/>
      <c r="C952" s="233"/>
      <c r="D952" s="233"/>
      <c r="E952" s="233"/>
      <c r="F952" s="233"/>
      <c r="G952" s="233"/>
      <c r="H952" s="233"/>
    </row>
    <row r="953">
      <c r="A953" s="233"/>
      <c r="B953" s="233"/>
      <c r="C953" s="233"/>
      <c r="D953" s="233"/>
      <c r="E953" s="233"/>
      <c r="F953" s="233"/>
      <c r="G953" s="233"/>
      <c r="H953" s="233"/>
    </row>
    <row r="954">
      <c r="A954" s="233"/>
      <c r="B954" s="233"/>
      <c r="C954" s="233"/>
      <c r="D954" s="233"/>
      <c r="E954" s="233"/>
      <c r="F954" s="233"/>
      <c r="G954" s="233"/>
      <c r="H954" s="233"/>
    </row>
    <row r="955">
      <c r="A955" s="233"/>
      <c r="B955" s="233"/>
      <c r="C955" s="233"/>
      <c r="D955" s="233"/>
      <c r="E955" s="233"/>
      <c r="F955" s="233"/>
      <c r="G955" s="233"/>
      <c r="H955" s="233"/>
    </row>
    <row r="956">
      <c r="A956" s="233"/>
      <c r="B956" s="233"/>
      <c r="C956" s="233"/>
      <c r="D956" s="233"/>
      <c r="E956" s="233"/>
      <c r="F956" s="233"/>
      <c r="G956" s="233"/>
      <c r="H956" s="233"/>
    </row>
    <row r="957">
      <c r="A957" s="233"/>
      <c r="B957" s="233"/>
      <c r="C957" s="233"/>
      <c r="D957" s="233"/>
      <c r="E957" s="233"/>
      <c r="F957" s="233"/>
      <c r="G957" s="233"/>
      <c r="H957" s="233"/>
    </row>
    <row r="958">
      <c r="A958" s="233"/>
      <c r="B958" s="233"/>
      <c r="C958" s="233"/>
      <c r="D958" s="233"/>
      <c r="E958" s="233"/>
      <c r="F958" s="233"/>
      <c r="G958" s="233"/>
      <c r="H958" s="233"/>
    </row>
    <row r="959">
      <c r="A959" s="233"/>
      <c r="B959" s="233"/>
      <c r="C959" s="233"/>
      <c r="D959" s="233"/>
      <c r="E959" s="233"/>
      <c r="F959" s="233"/>
      <c r="G959" s="233"/>
      <c r="H959" s="233"/>
    </row>
    <row r="960">
      <c r="A960" s="233"/>
      <c r="B960" s="233"/>
      <c r="C960" s="233"/>
      <c r="D960" s="233"/>
      <c r="E960" s="233"/>
      <c r="F960" s="233"/>
      <c r="G960" s="233"/>
      <c r="H960" s="233"/>
    </row>
    <row r="961">
      <c r="A961" s="233"/>
      <c r="B961" s="233"/>
      <c r="C961" s="233"/>
      <c r="D961" s="233"/>
      <c r="E961" s="233"/>
      <c r="F961" s="233"/>
      <c r="G961" s="233"/>
      <c r="H961" s="233"/>
    </row>
    <row r="962">
      <c r="A962" s="233"/>
      <c r="B962" s="233"/>
      <c r="C962" s="233"/>
      <c r="D962" s="233"/>
      <c r="E962" s="233"/>
      <c r="F962" s="233"/>
      <c r="G962" s="233"/>
      <c r="H962" s="233"/>
    </row>
    <row r="963">
      <c r="A963" s="233"/>
      <c r="B963" s="233"/>
      <c r="C963" s="233"/>
      <c r="D963" s="233"/>
      <c r="E963" s="233"/>
      <c r="F963" s="233"/>
      <c r="G963" s="233"/>
      <c r="H963" s="233"/>
    </row>
    <row r="964">
      <c r="A964" s="233"/>
      <c r="B964" s="233"/>
      <c r="C964" s="233"/>
      <c r="D964" s="233"/>
      <c r="E964" s="233"/>
      <c r="F964" s="233"/>
      <c r="G964" s="233"/>
      <c r="H964" s="233"/>
    </row>
    <row r="965">
      <c r="A965" s="233"/>
      <c r="B965" s="233"/>
      <c r="C965" s="233"/>
      <c r="D965" s="233"/>
      <c r="E965" s="233"/>
      <c r="F965" s="233"/>
      <c r="G965" s="233"/>
      <c r="H965" s="233"/>
    </row>
    <row r="966">
      <c r="A966" s="233"/>
      <c r="B966" s="233"/>
      <c r="C966" s="233"/>
      <c r="D966" s="233"/>
      <c r="E966" s="233"/>
      <c r="F966" s="233"/>
      <c r="G966" s="233"/>
      <c r="H966" s="233"/>
    </row>
    <row r="967">
      <c r="A967" s="233"/>
      <c r="B967" s="233"/>
      <c r="C967" s="233"/>
      <c r="D967" s="233"/>
      <c r="E967" s="233"/>
      <c r="F967" s="233"/>
      <c r="G967" s="233"/>
      <c r="H967" s="233"/>
    </row>
    <row r="968">
      <c r="A968" s="233"/>
      <c r="B968" s="233"/>
      <c r="C968" s="233"/>
      <c r="D968" s="233"/>
      <c r="E968" s="233"/>
      <c r="F968" s="233"/>
      <c r="G968" s="233"/>
      <c r="H968" s="233"/>
    </row>
    <row r="969">
      <c r="A969" s="233"/>
      <c r="B969" s="233"/>
      <c r="C969" s="233"/>
      <c r="D969" s="233"/>
      <c r="E969" s="233"/>
      <c r="F969" s="233"/>
      <c r="G969" s="233"/>
      <c r="H969" s="233"/>
    </row>
    <row r="970">
      <c r="A970" s="233"/>
      <c r="B970" s="233"/>
      <c r="C970" s="233"/>
      <c r="D970" s="233"/>
      <c r="E970" s="233"/>
      <c r="F970" s="233"/>
      <c r="G970" s="233"/>
      <c r="H970" s="233"/>
    </row>
    <row r="971">
      <c r="A971" s="233"/>
      <c r="B971" s="233"/>
      <c r="C971" s="233"/>
      <c r="D971" s="233"/>
      <c r="E971" s="233"/>
      <c r="F971" s="233"/>
      <c r="G971" s="233"/>
      <c r="H971" s="233"/>
    </row>
    <row r="972">
      <c r="A972" s="233"/>
      <c r="B972" s="233"/>
      <c r="C972" s="233"/>
      <c r="D972" s="233"/>
      <c r="E972" s="233"/>
      <c r="F972" s="233"/>
      <c r="G972" s="233"/>
      <c r="H972" s="233"/>
    </row>
    <row r="973">
      <c r="A973" s="233"/>
      <c r="B973" s="233"/>
      <c r="C973" s="233"/>
      <c r="D973" s="233"/>
      <c r="E973" s="233"/>
      <c r="F973" s="233"/>
      <c r="G973" s="233"/>
      <c r="H973" s="233"/>
    </row>
    <row r="974">
      <c r="A974" s="233"/>
      <c r="B974" s="233"/>
      <c r="C974" s="233"/>
      <c r="D974" s="233"/>
      <c r="E974" s="233"/>
      <c r="F974" s="233"/>
      <c r="G974" s="233"/>
      <c r="H974" s="233"/>
    </row>
    <row r="975">
      <c r="A975" s="233"/>
      <c r="B975" s="233"/>
      <c r="C975" s="233"/>
      <c r="D975" s="233"/>
      <c r="E975" s="233"/>
      <c r="F975" s="233"/>
      <c r="G975" s="233"/>
      <c r="H975" s="233"/>
    </row>
    <row r="976">
      <c r="A976" s="233"/>
      <c r="B976" s="233"/>
      <c r="C976" s="233"/>
      <c r="D976" s="233"/>
      <c r="E976" s="233"/>
      <c r="F976" s="233"/>
      <c r="G976" s="233"/>
      <c r="H976" s="233"/>
    </row>
    <row r="977">
      <c r="A977" s="233"/>
      <c r="B977" s="233"/>
      <c r="C977" s="233"/>
      <c r="D977" s="233"/>
      <c r="E977" s="233"/>
      <c r="F977" s="233"/>
      <c r="G977" s="233"/>
      <c r="H977" s="233"/>
    </row>
    <row r="978">
      <c r="A978" s="233"/>
      <c r="B978" s="233"/>
      <c r="C978" s="233"/>
      <c r="D978" s="233"/>
      <c r="E978" s="233"/>
      <c r="F978" s="233"/>
      <c r="G978" s="233"/>
      <c r="H978" s="233"/>
    </row>
    <row r="979">
      <c r="A979" s="233"/>
      <c r="B979" s="233"/>
      <c r="C979" s="233"/>
      <c r="D979" s="233"/>
      <c r="E979" s="233"/>
      <c r="F979" s="233"/>
      <c r="G979" s="233"/>
      <c r="H979" s="233"/>
    </row>
    <row r="980">
      <c r="A980" s="233"/>
      <c r="B980" s="233"/>
      <c r="C980" s="233"/>
      <c r="D980" s="233"/>
      <c r="E980" s="233"/>
      <c r="F980" s="233"/>
      <c r="G980" s="233"/>
      <c r="H980" s="233"/>
    </row>
    <row r="981">
      <c r="A981" s="233"/>
      <c r="B981" s="233"/>
      <c r="C981" s="233"/>
      <c r="D981" s="233"/>
      <c r="E981" s="233"/>
      <c r="F981" s="233"/>
      <c r="G981" s="233"/>
      <c r="H981" s="233"/>
    </row>
    <row r="982">
      <c r="A982" s="233"/>
      <c r="B982" s="233"/>
      <c r="C982" s="233"/>
      <c r="D982" s="233"/>
      <c r="E982" s="233"/>
      <c r="F982" s="233"/>
      <c r="G982" s="233"/>
      <c r="H982" s="233"/>
    </row>
    <row r="983">
      <c r="A983" s="233"/>
      <c r="B983" s="233"/>
      <c r="C983" s="233"/>
      <c r="D983" s="233"/>
      <c r="E983" s="233"/>
      <c r="F983" s="233"/>
      <c r="G983" s="233"/>
      <c r="H983" s="233"/>
    </row>
    <row r="984">
      <c r="A984" s="233"/>
      <c r="B984" s="233"/>
      <c r="C984" s="233"/>
      <c r="D984" s="233"/>
      <c r="E984" s="233"/>
      <c r="F984" s="233"/>
      <c r="G984" s="233"/>
      <c r="H984" s="233"/>
    </row>
    <row r="985">
      <c r="A985" s="233"/>
      <c r="B985" s="233"/>
      <c r="C985" s="233"/>
      <c r="D985" s="233"/>
      <c r="E985" s="233"/>
      <c r="F985" s="233"/>
      <c r="G985" s="233"/>
      <c r="H985" s="233"/>
    </row>
    <row r="986">
      <c r="A986" s="233"/>
      <c r="B986" s="233"/>
      <c r="C986" s="233"/>
      <c r="D986" s="233"/>
      <c r="E986" s="233"/>
      <c r="F986" s="233"/>
      <c r="G986" s="233"/>
      <c r="H986" s="233"/>
    </row>
    <row r="987">
      <c r="A987" s="233"/>
      <c r="B987" s="233"/>
      <c r="C987" s="233"/>
      <c r="D987" s="233"/>
      <c r="E987" s="233"/>
      <c r="F987" s="233"/>
      <c r="G987" s="233"/>
      <c r="H987" s="233"/>
    </row>
    <row r="988">
      <c r="A988" s="233"/>
      <c r="B988" s="233"/>
      <c r="C988" s="233"/>
      <c r="D988" s="233"/>
      <c r="E988" s="233"/>
      <c r="F988" s="233"/>
      <c r="G988" s="233"/>
      <c r="H988" s="233"/>
    </row>
    <row r="989">
      <c r="A989" s="233"/>
      <c r="B989" s="233"/>
      <c r="C989" s="233"/>
      <c r="D989" s="233"/>
      <c r="E989" s="233"/>
      <c r="F989" s="233"/>
      <c r="G989" s="233"/>
      <c r="H989" s="233"/>
    </row>
    <row r="990">
      <c r="A990" s="233"/>
      <c r="B990" s="233"/>
      <c r="C990" s="233"/>
      <c r="D990" s="233"/>
      <c r="E990" s="233"/>
      <c r="F990" s="233"/>
      <c r="G990" s="233"/>
      <c r="H990" s="233"/>
    </row>
    <row r="991">
      <c r="A991" s="233"/>
      <c r="B991" s="233"/>
      <c r="C991" s="233"/>
      <c r="D991" s="233"/>
      <c r="E991" s="233"/>
      <c r="F991" s="233"/>
      <c r="G991" s="233"/>
      <c r="H991" s="233"/>
    </row>
    <row r="992">
      <c r="A992" s="233"/>
      <c r="B992" s="233"/>
      <c r="C992" s="233"/>
      <c r="D992" s="233"/>
      <c r="E992" s="233"/>
      <c r="F992" s="233"/>
      <c r="G992" s="233"/>
      <c r="H992" s="233"/>
    </row>
    <row r="993">
      <c r="A993" s="233"/>
      <c r="B993" s="233"/>
      <c r="C993" s="233"/>
      <c r="D993" s="233"/>
      <c r="E993" s="233"/>
      <c r="F993" s="233"/>
      <c r="G993" s="233"/>
      <c r="H993" s="233"/>
    </row>
    <row r="994">
      <c r="A994" s="233"/>
      <c r="B994" s="233"/>
      <c r="C994" s="233"/>
      <c r="D994" s="233"/>
      <c r="E994" s="233"/>
      <c r="F994" s="233"/>
      <c r="G994" s="233"/>
      <c r="H994" s="233"/>
    </row>
    <row r="995">
      <c r="A995" s="233"/>
      <c r="B995" s="233"/>
      <c r="C995" s="233"/>
      <c r="D995" s="233"/>
      <c r="E995" s="233"/>
      <c r="F995" s="233"/>
      <c r="G995" s="233"/>
      <c r="H995" s="233"/>
    </row>
    <row r="996">
      <c r="A996" s="233"/>
      <c r="B996" s="233"/>
      <c r="C996" s="233"/>
      <c r="D996" s="233"/>
      <c r="E996" s="233"/>
      <c r="F996" s="233"/>
      <c r="G996" s="233"/>
      <c r="H996" s="233"/>
    </row>
    <row r="997">
      <c r="A997" s="233"/>
      <c r="B997" s="233"/>
      <c r="C997" s="233"/>
      <c r="D997" s="233"/>
      <c r="E997" s="233"/>
      <c r="F997" s="233"/>
      <c r="G997" s="233"/>
      <c r="H997" s="233"/>
    </row>
    <row r="998">
      <c r="A998" s="233"/>
      <c r="B998" s="233"/>
      <c r="C998" s="233"/>
      <c r="D998" s="233"/>
      <c r="E998" s="233"/>
      <c r="F998" s="233"/>
      <c r="G998" s="233"/>
      <c r="H998" s="233"/>
    </row>
    <row r="999">
      <c r="A999" s="233"/>
      <c r="B999" s="233"/>
      <c r="C999" s="233"/>
      <c r="D999" s="233"/>
      <c r="E999" s="233"/>
      <c r="F999" s="233"/>
      <c r="G999" s="233"/>
      <c r="H999" s="233"/>
    </row>
    <row r="1000">
      <c r="A1000" s="233"/>
      <c r="B1000" s="233"/>
      <c r="C1000" s="233"/>
      <c r="D1000" s="233"/>
      <c r="E1000" s="233"/>
      <c r="F1000" s="233"/>
      <c r="G1000" s="233"/>
      <c r="H1000" s="233"/>
    </row>
    <row r="1001">
      <c r="A1001" s="233"/>
      <c r="B1001" s="233"/>
      <c r="C1001" s="233"/>
      <c r="D1001" s="233"/>
      <c r="E1001" s="233"/>
      <c r="F1001" s="233"/>
      <c r="G1001" s="233"/>
      <c r="H1001" s="233"/>
    </row>
    <row r="1002">
      <c r="A1002" s="233"/>
      <c r="B1002" s="233"/>
      <c r="C1002" s="233"/>
      <c r="D1002" s="233"/>
      <c r="E1002" s="233"/>
      <c r="F1002" s="233"/>
      <c r="G1002" s="233"/>
      <c r="H1002" s="233"/>
    </row>
    <row r="1003">
      <c r="A1003" s="233"/>
      <c r="B1003" s="233"/>
      <c r="C1003" s="233"/>
      <c r="D1003" s="233"/>
      <c r="E1003" s="233"/>
      <c r="F1003" s="233"/>
      <c r="G1003" s="233"/>
      <c r="H1003" s="233"/>
    </row>
    <row r="1004">
      <c r="A1004" s="233"/>
      <c r="B1004" s="233"/>
      <c r="C1004" s="233"/>
      <c r="D1004" s="233"/>
      <c r="E1004" s="233"/>
      <c r="F1004" s="233"/>
      <c r="G1004" s="233"/>
      <c r="H1004" s="233"/>
    </row>
  </sheetData>
  <mergeCells count="7">
    <mergeCell ref="B1:C1"/>
    <mergeCell ref="B42:C42"/>
    <mergeCell ref="B54:C54"/>
    <mergeCell ref="B66:C66"/>
    <mergeCell ref="B84:C84"/>
    <mergeCell ref="B90:C90"/>
    <mergeCell ref="B95:C95"/>
  </mergeCells>
  <dataValidations>
    <dataValidation type="list" allowBlank="1" showErrorMessage="1" sqref="D2:D41 F2:F41 D43:D53 F43:F53 D55:D65 F55:F65 D67:D83 F67:F83 D85:D89 F85:F89 D91:D94 F91:F94 D96:D99 F96:F99">
      <formula1>Configuraciones!$G$3:$G$9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6.75"/>
    <col customWidth="1" min="3" max="3" width="67.5"/>
    <col customWidth="1" min="4" max="4" width="23.25"/>
    <col customWidth="1" min="6" max="6" width="23.25"/>
    <col customWidth="1" min="8" max="8" width="50.25"/>
  </cols>
  <sheetData>
    <row r="1" ht="38.25" customHeight="1">
      <c r="A1" s="248"/>
      <c r="B1" s="249" t="s">
        <v>494</v>
      </c>
      <c r="D1" s="249" t="s">
        <v>129</v>
      </c>
      <c r="E1" s="249" t="s">
        <v>130</v>
      </c>
      <c r="F1" s="249" t="s">
        <v>129</v>
      </c>
      <c r="G1" s="249" t="s">
        <v>131</v>
      </c>
      <c r="H1" s="249" t="s">
        <v>340</v>
      </c>
    </row>
    <row r="2">
      <c r="A2" s="248"/>
      <c r="B2" s="250" t="s">
        <v>495</v>
      </c>
      <c r="C2" s="250" t="s">
        <v>496</v>
      </c>
      <c r="D2" s="251"/>
      <c r="E2" s="252" t="b">
        <v>0</v>
      </c>
      <c r="F2" s="251"/>
      <c r="G2" s="252" t="b">
        <v>0</v>
      </c>
      <c r="H2" s="251"/>
    </row>
    <row r="3">
      <c r="A3" s="248"/>
      <c r="B3" s="250" t="s">
        <v>497</v>
      </c>
      <c r="C3" s="250" t="s">
        <v>498</v>
      </c>
      <c r="D3" s="251"/>
      <c r="E3" s="252" t="b">
        <v>0</v>
      </c>
      <c r="F3" s="251"/>
      <c r="G3" s="252" t="b">
        <v>0</v>
      </c>
      <c r="H3" s="251"/>
    </row>
    <row r="4">
      <c r="A4" s="248"/>
      <c r="B4" s="250" t="s">
        <v>499</v>
      </c>
      <c r="C4" s="248"/>
      <c r="D4" s="251"/>
      <c r="E4" s="252" t="b">
        <v>0</v>
      </c>
      <c r="F4" s="251"/>
      <c r="G4" s="252" t="b">
        <v>0</v>
      </c>
      <c r="H4" s="251"/>
    </row>
    <row r="5">
      <c r="A5" s="248"/>
      <c r="B5" s="250" t="s">
        <v>500</v>
      </c>
      <c r="C5" s="248"/>
      <c r="D5" s="251"/>
      <c r="E5" s="252" t="b">
        <v>0</v>
      </c>
      <c r="F5" s="251"/>
      <c r="G5" s="252" t="b">
        <v>0</v>
      </c>
      <c r="H5" s="251"/>
    </row>
    <row r="6">
      <c r="A6" s="248"/>
      <c r="B6" s="250" t="s">
        <v>501</v>
      </c>
      <c r="C6" s="250" t="s">
        <v>502</v>
      </c>
      <c r="D6" s="251"/>
      <c r="E6" s="252" t="b">
        <v>0</v>
      </c>
      <c r="F6" s="251"/>
      <c r="G6" s="252" t="b">
        <v>0</v>
      </c>
      <c r="H6" s="251"/>
    </row>
    <row r="7">
      <c r="A7" s="248"/>
      <c r="B7" s="250" t="s">
        <v>503</v>
      </c>
      <c r="C7" s="250" t="s">
        <v>504</v>
      </c>
      <c r="D7" s="251"/>
      <c r="E7" s="252" t="b">
        <v>0</v>
      </c>
      <c r="F7" s="251"/>
      <c r="G7" s="252" t="b">
        <v>0</v>
      </c>
      <c r="H7" s="251"/>
    </row>
    <row r="8">
      <c r="A8" s="248"/>
      <c r="B8" s="249" t="s">
        <v>505</v>
      </c>
      <c r="D8" s="249" t="s">
        <v>129</v>
      </c>
      <c r="E8" s="249" t="s">
        <v>130</v>
      </c>
      <c r="F8" s="249" t="s">
        <v>129</v>
      </c>
      <c r="G8" s="249" t="s">
        <v>131</v>
      </c>
      <c r="H8" s="253"/>
    </row>
    <row r="9">
      <c r="A9" s="248"/>
      <c r="B9" s="250" t="s">
        <v>506</v>
      </c>
      <c r="C9" s="250" t="s">
        <v>507</v>
      </c>
      <c r="D9" s="251"/>
      <c r="E9" s="252" t="b">
        <v>0</v>
      </c>
      <c r="F9" s="251"/>
      <c r="G9" s="252" t="b">
        <v>0</v>
      </c>
      <c r="H9" s="251"/>
    </row>
    <row r="10">
      <c r="A10" s="248"/>
      <c r="B10" s="250" t="s">
        <v>508</v>
      </c>
      <c r="C10" s="250" t="s">
        <v>509</v>
      </c>
      <c r="D10" s="251"/>
      <c r="E10" s="252" t="b">
        <v>0</v>
      </c>
      <c r="F10" s="251"/>
      <c r="G10" s="252" t="b">
        <v>0</v>
      </c>
      <c r="H10" s="251"/>
    </row>
    <row r="11">
      <c r="A11" s="248"/>
      <c r="B11" s="250" t="s">
        <v>510</v>
      </c>
      <c r="C11" s="250" t="s">
        <v>511</v>
      </c>
      <c r="D11" s="251"/>
      <c r="E11" s="252" t="b">
        <v>0</v>
      </c>
      <c r="F11" s="251"/>
      <c r="G11" s="252" t="b">
        <v>0</v>
      </c>
      <c r="H11" s="251"/>
    </row>
    <row r="12">
      <c r="A12" s="248"/>
      <c r="B12" s="250" t="s">
        <v>512</v>
      </c>
      <c r="C12" s="250" t="s">
        <v>513</v>
      </c>
      <c r="D12" s="251"/>
      <c r="E12" s="252" t="b">
        <v>0</v>
      </c>
      <c r="F12" s="251"/>
      <c r="G12" s="252" t="b">
        <v>0</v>
      </c>
      <c r="H12" s="251"/>
    </row>
    <row r="13">
      <c r="A13" s="248"/>
      <c r="B13" s="248"/>
      <c r="C13" s="248"/>
      <c r="D13" s="251"/>
      <c r="E13" s="248"/>
      <c r="F13" s="251"/>
      <c r="G13" s="248"/>
      <c r="H13" s="251"/>
    </row>
    <row r="14">
      <c r="A14" s="248"/>
      <c r="B14" s="248"/>
      <c r="C14" s="248"/>
      <c r="D14" s="251"/>
      <c r="E14" s="248"/>
      <c r="F14" s="251"/>
      <c r="G14" s="248"/>
      <c r="H14" s="251"/>
    </row>
    <row r="15">
      <c r="A15" s="248"/>
      <c r="B15" s="248"/>
      <c r="C15" s="248"/>
      <c r="D15" s="251"/>
      <c r="E15" s="248"/>
      <c r="F15" s="251"/>
      <c r="G15" s="248"/>
      <c r="H15" s="251"/>
    </row>
    <row r="16">
      <c r="A16" s="251"/>
      <c r="B16" s="251"/>
      <c r="C16" s="248"/>
      <c r="D16" s="251"/>
      <c r="E16" s="248"/>
      <c r="F16" s="251"/>
      <c r="G16" s="248"/>
      <c r="H16" s="251"/>
    </row>
    <row r="17">
      <c r="A17" s="248"/>
      <c r="B17" s="248"/>
      <c r="C17" s="248"/>
      <c r="D17" s="251"/>
      <c r="E17" s="248"/>
      <c r="F17" s="251"/>
      <c r="G17" s="248"/>
      <c r="H17" s="251"/>
    </row>
    <row r="18">
      <c r="A18" s="248"/>
      <c r="B18" s="248"/>
      <c r="C18" s="248"/>
      <c r="D18" s="251"/>
      <c r="E18" s="248"/>
      <c r="F18" s="251"/>
      <c r="G18" s="248"/>
      <c r="H18" s="251"/>
    </row>
    <row r="19">
      <c r="A19" s="248"/>
      <c r="B19" s="248"/>
      <c r="C19" s="248"/>
      <c r="D19" s="251"/>
      <c r="E19" s="248"/>
      <c r="F19" s="251"/>
      <c r="G19" s="248"/>
      <c r="H19" s="251"/>
    </row>
    <row r="20">
      <c r="A20" s="248"/>
      <c r="B20" s="248"/>
      <c r="C20" s="248"/>
      <c r="D20" s="251"/>
      <c r="E20" s="248"/>
      <c r="F20" s="251"/>
      <c r="G20" s="248"/>
      <c r="H20" s="251"/>
    </row>
    <row r="21">
      <c r="A21" s="248"/>
      <c r="B21" s="248"/>
      <c r="C21" s="248"/>
      <c r="D21" s="251"/>
      <c r="E21" s="248"/>
      <c r="F21" s="251"/>
      <c r="G21" s="248"/>
      <c r="H21" s="251"/>
    </row>
    <row r="22">
      <c r="A22" s="248"/>
      <c r="B22" s="248"/>
      <c r="C22" s="248"/>
      <c r="D22" s="251"/>
      <c r="E22" s="248"/>
      <c r="F22" s="251"/>
      <c r="G22" s="248"/>
      <c r="H22" s="251"/>
    </row>
    <row r="23">
      <c r="A23" s="248"/>
      <c r="B23" s="248"/>
      <c r="C23" s="248"/>
      <c r="D23" s="251"/>
      <c r="E23" s="248"/>
      <c r="F23" s="251"/>
      <c r="G23" s="248"/>
      <c r="H23" s="251"/>
    </row>
    <row r="24">
      <c r="A24" s="248"/>
      <c r="B24" s="248"/>
      <c r="C24" s="248"/>
      <c r="D24" s="251"/>
      <c r="E24" s="248"/>
      <c r="F24" s="251"/>
      <c r="G24" s="248"/>
      <c r="H24" s="251"/>
    </row>
    <row r="25">
      <c r="A25" s="248"/>
      <c r="B25" s="248"/>
      <c r="C25" s="248"/>
      <c r="D25" s="251"/>
      <c r="E25" s="248"/>
      <c r="F25" s="251"/>
      <c r="G25" s="248"/>
      <c r="H25" s="251"/>
    </row>
    <row r="26">
      <c r="A26" s="248"/>
      <c r="B26" s="248"/>
      <c r="C26" s="248"/>
      <c r="D26" s="251"/>
      <c r="E26" s="248"/>
      <c r="F26" s="251"/>
      <c r="G26" s="248"/>
      <c r="H26" s="251"/>
    </row>
    <row r="27">
      <c r="A27" s="251"/>
      <c r="B27" s="251"/>
      <c r="C27" s="248"/>
      <c r="D27" s="251"/>
      <c r="E27" s="248"/>
      <c r="F27" s="251"/>
      <c r="G27" s="248"/>
      <c r="H27" s="251"/>
    </row>
    <row r="28">
      <c r="A28" s="248"/>
      <c r="B28" s="248"/>
      <c r="C28" s="248"/>
      <c r="D28" s="251"/>
      <c r="E28" s="248"/>
      <c r="F28" s="251"/>
      <c r="G28" s="248"/>
      <c r="H28" s="251"/>
    </row>
    <row r="29">
      <c r="A29" s="248"/>
      <c r="B29" s="248"/>
      <c r="C29" s="248"/>
      <c r="D29" s="251"/>
      <c r="E29" s="248"/>
      <c r="F29" s="251"/>
      <c r="G29" s="248"/>
      <c r="H29" s="251"/>
    </row>
    <row r="30">
      <c r="A30" s="248"/>
      <c r="B30" s="248"/>
      <c r="C30" s="251"/>
      <c r="D30" s="251"/>
      <c r="E30" s="248"/>
      <c r="F30" s="251"/>
      <c r="G30" s="248"/>
      <c r="H30" s="251"/>
    </row>
    <row r="31">
      <c r="A31" s="248"/>
      <c r="B31" s="248"/>
      <c r="C31" s="248"/>
      <c r="D31" s="251"/>
      <c r="E31" s="248"/>
      <c r="F31" s="251"/>
      <c r="G31" s="248"/>
      <c r="H31" s="251"/>
    </row>
    <row r="32">
      <c r="A32" s="248"/>
      <c r="B32" s="248"/>
      <c r="C32" s="248"/>
      <c r="D32" s="251"/>
      <c r="E32" s="248"/>
      <c r="F32" s="251"/>
      <c r="G32" s="248"/>
      <c r="H32" s="251"/>
    </row>
    <row r="33">
      <c r="A33" s="248"/>
      <c r="B33" s="248"/>
      <c r="C33" s="248"/>
      <c r="D33" s="251"/>
      <c r="E33" s="248"/>
      <c r="F33" s="251"/>
      <c r="G33" s="248"/>
      <c r="H33" s="251"/>
    </row>
    <row r="34">
      <c r="A34" s="248"/>
      <c r="B34" s="248"/>
      <c r="C34" s="248"/>
      <c r="D34" s="251"/>
      <c r="E34" s="248"/>
      <c r="F34" s="251"/>
      <c r="G34" s="248"/>
      <c r="H34" s="251"/>
    </row>
    <row r="35">
      <c r="A35" s="248"/>
      <c r="B35" s="248"/>
      <c r="C35" s="248"/>
      <c r="D35" s="251"/>
      <c r="E35" s="248"/>
      <c r="F35" s="251"/>
      <c r="G35" s="248"/>
      <c r="H35" s="251"/>
    </row>
    <row r="36">
      <c r="A36" s="248"/>
      <c r="B36" s="248"/>
      <c r="C36" s="248"/>
      <c r="D36" s="251"/>
      <c r="E36" s="248"/>
      <c r="F36" s="251"/>
      <c r="G36" s="248"/>
      <c r="H36" s="251"/>
    </row>
    <row r="37">
      <c r="A37" s="248"/>
      <c r="B37" s="248"/>
      <c r="C37" s="248"/>
      <c r="D37" s="251"/>
      <c r="E37" s="248"/>
      <c r="F37" s="251"/>
      <c r="G37" s="248"/>
      <c r="H37" s="251"/>
    </row>
    <row r="38">
      <c r="A38" s="248"/>
      <c r="B38" s="248"/>
      <c r="C38" s="248"/>
      <c r="D38" s="251"/>
      <c r="E38" s="248"/>
      <c r="F38" s="251"/>
      <c r="G38" s="248"/>
      <c r="H38" s="251"/>
    </row>
    <row r="39">
      <c r="A39" s="248"/>
      <c r="B39" s="248"/>
      <c r="C39" s="248"/>
      <c r="D39" s="251"/>
      <c r="E39" s="248"/>
      <c r="F39" s="251"/>
      <c r="G39" s="248"/>
      <c r="H39" s="251"/>
    </row>
    <row r="40">
      <c r="A40" s="248"/>
      <c r="B40" s="248"/>
      <c r="C40" s="248"/>
      <c r="D40" s="251"/>
      <c r="E40" s="248"/>
      <c r="F40" s="251"/>
      <c r="G40" s="248"/>
      <c r="H40" s="251"/>
    </row>
    <row r="41">
      <c r="A41" s="248"/>
      <c r="B41" s="248"/>
      <c r="C41" s="248"/>
      <c r="D41" s="251"/>
      <c r="E41" s="248"/>
      <c r="F41" s="251"/>
      <c r="G41" s="248"/>
      <c r="H41" s="251"/>
    </row>
    <row r="42" ht="38.25" customHeight="1">
      <c r="A42" s="248"/>
      <c r="B42" s="248"/>
      <c r="C42" s="248"/>
      <c r="D42" s="248"/>
      <c r="E42" s="248"/>
      <c r="F42" s="248"/>
      <c r="G42" s="248"/>
      <c r="H42" s="251"/>
    </row>
    <row r="43">
      <c r="A43" s="248"/>
      <c r="B43" s="248"/>
      <c r="C43" s="248"/>
      <c r="D43" s="251"/>
      <c r="E43" s="248"/>
      <c r="F43" s="251"/>
      <c r="G43" s="248"/>
      <c r="H43" s="251"/>
    </row>
    <row r="44">
      <c r="A44" s="248"/>
      <c r="B44" s="248"/>
      <c r="C44" s="248"/>
      <c r="D44" s="251"/>
      <c r="E44" s="248"/>
      <c r="F44" s="251"/>
      <c r="G44" s="248"/>
      <c r="H44" s="251"/>
    </row>
    <row r="45">
      <c r="A45" s="248"/>
      <c r="B45" s="248"/>
      <c r="C45" s="248"/>
      <c r="D45" s="251"/>
      <c r="E45" s="248"/>
      <c r="F45" s="251"/>
      <c r="G45" s="248"/>
      <c r="H45" s="251"/>
    </row>
    <row r="46">
      <c r="A46" s="251"/>
      <c r="B46" s="251"/>
      <c r="C46" s="248"/>
      <c r="D46" s="251"/>
      <c r="E46" s="248"/>
      <c r="F46" s="251"/>
      <c r="G46" s="248"/>
      <c r="H46" s="251"/>
    </row>
    <row r="47">
      <c r="A47" s="248"/>
      <c r="B47" s="248"/>
      <c r="C47" s="248"/>
      <c r="D47" s="251"/>
      <c r="E47" s="248"/>
      <c r="F47" s="251"/>
      <c r="G47" s="248"/>
      <c r="H47" s="251"/>
    </row>
    <row r="48">
      <c r="A48" s="248"/>
      <c r="B48" s="248"/>
      <c r="C48" s="248"/>
      <c r="D48" s="251"/>
      <c r="E48" s="248"/>
      <c r="F48" s="251"/>
      <c r="G48" s="248"/>
      <c r="H48" s="251"/>
    </row>
    <row r="49">
      <c r="A49" s="248"/>
      <c r="B49" s="248"/>
      <c r="C49" s="248"/>
      <c r="D49" s="251"/>
      <c r="E49" s="248"/>
      <c r="F49" s="251"/>
      <c r="G49" s="248"/>
      <c r="H49" s="251"/>
    </row>
    <row r="50">
      <c r="A50" s="248"/>
      <c r="B50" s="248"/>
      <c r="C50" s="248"/>
      <c r="D50" s="251"/>
      <c r="E50" s="248"/>
      <c r="F50" s="251"/>
      <c r="G50" s="248"/>
      <c r="H50" s="251"/>
    </row>
    <row r="51">
      <c r="A51" s="248"/>
      <c r="B51" s="248"/>
      <c r="C51" s="248"/>
      <c r="D51" s="251"/>
      <c r="E51" s="248"/>
      <c r="F51" s="251"/>
      <c r="G51" s="248"/>
      <c r="H51" s="251"/>
    </row>
    <row r="52">
      <c r="A52" s="251"/>
      <c r="B52" s="251"/>
      <c r="C52" s="248"/>
      <c r="D52" s="251"/>
      <c r="E52" s="248"/>
      <c r="F52" s="251"/>
      <c r="G52" s="251"/>
      <c r="H52" s="251"/>
    </row>
    <row r="53">
      <c r="A53" s="251"/>
      <c r="B53" s="251"/>
      <c r="C53" s="248"/>
      <c r="D53" s="251"/>
      <c r="E53" s="248"/>
      <c r="F53" s="251"/>
      <c r="G53" s="251"/>
      <c r="H53" s="251"/>
    </row>
    <row r="54" ht="38.25" customHeight="1">
      <c r="A54" s="248"/>
      <c r="B54" s="248"/>
      <c r="C54" s="248"/>
      <c r="D54" s="248"/>
      <c r="E54" s="248"/>
      <c r="F54" s="248"/>
      <c r="G54" s="248"/>
      <c r="H54" s="251"/>
    </row>
    <row r="55">
      <c r="A55" s="248"/>
      <c r="B55" s="248"/>
      <c r="C55" s="248"/>
      <c r="D55" s="251"/>
      <c r="E55" s="248"/>
      <c r="F55" s="251"/>
      <c r="G55" s="248"/>
      <c r="H55" s="251"/>
    </row>
    <row r="56">
      <c r="A56" s="248"/>
      <c r="B56" s="248"/>
      <c r="C56" s="248"/>
      <c r="D56" s="251"/>
      <c r="E56" s="248"/>
      <c r="F56" s="251"/>
      <c r="G56" s="248"/>
      <c r="H56" s="251"/>
    </row>
    <row r="57" ht="15.75" customHeight="1">
      <c r="A57" s="248"/>
      <c r="B57" s="248"/>
      <c r="C57" s="248"/>
      <c r="D57" s="251"/>
      <c r="E57" s="248"/>
      <c r="F57" s="251"/>
      <c r="G57" s="248"/>
      <c r="H57" s="251"/>
    </row>
    <row r="58">
      <c r="A58" s="248"/>
      <c r="B58" s="248"/>
      <c r="C58" s="248"/>
      <c r="D58" s="251"/>
      <c r="E58" s="248"/>
      <c r="F58" s="251"/>
      <c r="G58" s="248"/>
      <c r="H58" s="251"/>
    </row>
    <row r="59">
      <c r="A59" s="248"/>
      <c r="B59" s="248"/>
      <c r="C59" s="248"/>
      <c r="D59" s="251"/>
      <c r="E59" s="248"/>
      <c r="F59" s="251"/>
      <c r="G59" s="248"/>
      <c r="H59" s="251"/>
    </row>
    <row r="60">
      <c r="A60" s="248"/>
      <c r="B60" s="248"/>
      <c r="C60" s="248"/>
      <c r="D60" s="251"/>
      <c r="E60" s="248"/>
      <c r="F60" s="251"/>
      <c r="G60" s="248"/>
      <c r="H60" s="251"/>
    </row>
    <row r="61">
      <c r="A61" s="248"/>
      <c r="B61" s="248"/>
      <c r="C61" s="248"/>
      <c r="D61" s="251"/>
      <c r="E61" s="248"/>
      <c r="F61" s="251"/>
      <c r="G61" s="248"/>
      <c r="H61" s="251"/>
    </row>
    <row r="62">
      <c r="A62" s="248"/>
      <c r="B62" s="248"/>
      <c r="C62" s="251"/>
      <c r="D62" s="251"/>
      <c r="E62" s="248"/>
      <c r="F62" s="251"/>
      <c r="G62" s="248"/>
      <c r="H62" s="251"/>
    </row>
    <row r="63">
      <c r="A63" s="248"/>
      <c r="B63" s="248"/>
      <c r="C63" s="251"/>
      <c r="D63" s="251"/>
      <c r="E63" s="248"/>
      <c r="F63" s="251"/>
      <c r="G63" s="248"/>
      <c r="H63" s="251"/>
    </row>
    <row r="64">
      <c r="A64" s="248"/>
      <c r="B64" s="248"/>
      <c r="C64" s="248"/>
      <c r="D64" s="251"/>
      <c r="E64" s="248"/>
      <c r="F64" s="251"/>
      <c r="G64" s="248"/>
      <c r="H64" s="251"/>
    </row>
    <row r="65">
      <c r="A65" s="248"/>
      <c r="B65" s="248"/>
      <c r="C65" s="248"/>
      <c r="D65" s="251"/>
      <c r="E65" s="248"/>
      <c r="F65" s="251"/>
      <c r="G65" s="248"/>
      <c r="H65" s="251"/>
    </row>
    <row r="66" ht="38.25" customHeight="1">
      <c r="A66" s="248"/>
      <c r="B66" s="248"/>
      <c r="C66" s="248"/>
      <c r="D66" s="248"/>
      <c r="E66" s="248"/>
      <c r="F66" s="248"/>
      <c r="G66" s="248"/>
      <c r="H66" s="251"/>
    </row>
    <row r="67">
      <c r="A67" s="248"/>
      <c r="B67" s="248"/>
      <c r="C67" s="248"/>
      <c r="D67" s="251"/>
      <c r="E67" s="248"/>
      <c r="F67" s="251"/>
      <c r="G67" s="248"/>
      <c r="H67" s="251"/>
    </row>
    <row r="68">
      <c r="A68" s="248"/>
      <c r="B68" s="248"/>
      <c r="C68" s="248"/>
      <c r="D68" s="251"/>
      <c r="E68" s="248"/>
      <c r="F68" s="251"/>
      <c r="G68" s="248"/>
      <c r="H68" s="251"/>
    </row>
    <row r="69">
      <c r="A69" s="248"/>
      <c r="B69" s="248"/>
      <c r="C69" s="248"/>
      <c r="D69" s="251"/>
      <c r="E69" s="248"/>
      <c r="F69" s="251"/>
      <c r="G69" s="248"/>
      <c r="H69" s="251"/>
    </row>
    <row r="70">
      <c r="A70" s="248"/>
      <c r="B70" s="248"/>
      <c r="C70" s="248"/>
      <c r="D70" s="251"/>
      <c r="E70" s="248"/>
      <c r="F70" s="251"/>
      <c r="G70" s="248"/>
      <c r="H70" s="251"/>
    </row>
    <row r="71">
      <c r="A71" s="248"/>
      <c r="B71" s="248"/>
      <c r="C71" s="248"/>
      <c r="D71" s="251"/>
      <c r="E71" s="248"/>
      <c r="F71" s="251"/>
      <c r="G71" s="248"/>
      <c r="H71" s="251"/>
    </row>
    <row r="72">
      <c r="A72" s="248"/>
      <c r="B72" s="248"/>
      <c r="C72" s="248"/>
      <c r="D72" s="251"/>
      <c r="E72" s="248"/>
      <c r="F72" s="251"/>
      <c r="G72" s="248"/>
      <c r="H72" s="251"/>
    </row>
    <row r="73">
      <c r="A73" s="248"/>
      <c r="B73" s="248"/>
      <c r="C73" s="248"/>
      <c r="D73" s="251"/>
      <c r="E73" s="248"/>
      <c r="F73" s="251"/>
      <c r="G73" s="248"/>
      <c r="H73" s="251"/>
    </row>
    <row r="74">
      <c r="A74" s="248"/>
      <c r="B74" s="248"/>
      <c r="C74" s="248"/>
      <c r="D74" s="251"/>
      <c r="E74" s="248"/>
      <c r="F74" s="251"/>
      <c r="G74" s="248"/>
      <c r="H74" s="251"/>
    </row>
    <row r="75">
      <c r="A75" s="248"/>
      <c r="B75" s="248"/>
      <c r="C75" s="248"/>
      <c r="D75" s="251"/>
      <c r="E75" s="248"/>
      <c r="F75" s="251"/>
      <c r="G75" s="248"/>
      <c r="H75" s="251"/>
    </row>
    <row r="76">
      <c r="A76" s="248"/>
      <c r="B76" s="248"/>
      <c r="C76" s="248"/>
      <c r="D76" s="251"/>
      <c r="E76" s="248"/>
      <c r="F76" s="251"/>
      <c r="G76" s="248"/>
      <c r="H76" s="251"/>
    </row>
    <row r="77">
      <c r="A77" s="248"/>
      <c r="B77" s="248"/>
      <c r="C77" s="248"/>
      <c r="D77" s="251"/>
      <c r="E77" s="248"/>
      <c r="F77" s="251"/>
      <c r="G77" s="248"/>
      <c r="H77" s="251"/>
    </row>
    <row r="78">
      <c r="A78" s="248"/>
      <c r="B78" s="248"/>
      <c r="C78" s="248"/>
      <c r="D78" s="251"/>
      <c r="E78" s="248"/>
      <c r="F78" s="251"/>
      <c r="G78" s="248"/>
      <c r="H78" s="251"/>
    </row>
    <row r="79">
      <c r="A79" s="248"/>
      <c r="B79" s="248"/>
      <c r="C79" s="248"/>
      <c r="D79" s="251"/>
      <c r="E79" s="248"/>
      <c r="F79" s="251"/>
      <c r="G79" s="248"/>
      <c r="H79" s="251"/>
    </row>
    <row r="80">
      <c r="A80" s="248"/>
      <c r="B80" s="248"/>
      <c r="C80" s="248"/>
      <c r="D80" s="251"/>
      <c r="E80" s="248"/>
      <c r="F80" s="251"/>
      <c r="G80" s="248"/>
      <c r="H80" s="251"/>
    </row>
    <row r="81">
      <c r="A81" s="248"/>
      <c r="B81" s="248"/>
      <c r="C81" s="248"/>
      <c r="D81" s="251"/>
      <c r="E81" s="248"/>
      <c r="F81" s="251"/>
      <c r="G81" s="248"/>
      <c r="H81" s="251"/>
    </row>
    <row r="82">
      <c r="A82" s="248"/>
      <c r="B82" s="248"/>
      <c r="C82" s="248"/>
      <c r="D82" s="251"/>
      <c r="E82" s="248"/>
      <c r="F82" s="251"/>
      <c r="G82" s="248"/>
      <c r="H82" s="251"/>
    </row>
    <row r="83">
      <c r="A83" s="248"/>
      <c r="B83" s="248"/>
      <c r="C83" s="248"/>
      <c r="D83" s="251"/>
      <c r="E83" s="248"/>
      <c r="F83" s="251"/>
      <c r="G83" s="248"/>
      <c r="H83" s="251"/>
    </row>
    <row r="84" ht="38.25" customHeight="1">
      <c r="A84" s="248"/>
      <c r="B84" s="248"/>
      <c r="C84" s="248"/>
      <c r="D84" s="248"/>
      <c r="E84" s="248"/>
      <c r="F84" s="248"/>
      <c r="G84" s="248"/>
      <c r="H84" s="251"/>
    </row>
    <row r="85">
      <c r="A85" s="248"/>
      <c r="B85" s="248"/>
      <c r="C85" s="248"/>
      <c r="D85" s="251"/>
      <c r="E85" s="248"/>
      <c r="F85" s="251"/>
      <c r="G85" s="248"/>
      <c r="H85" s="251"/>
    </row>
    <row r="86">
      <c r="A86" s="248"/>
      <c r="B86" s="248"/>
      <c r="C86" s="251"/>
      <c r="D86" s="251"/>
      <c r="E86" s="248"/>
      <c r="F86" s="251"/>
      <c r="G86" s="248"/>
      <c r="H86" s="251"/>
    </row>
    <row r="87">
      <c r="A87" s="248"/>
      <c r="B87" s="248"/>
      <c r="C87" s="251"/>
      <c r="D87" s="251"/>
      <c r="E87" s="248"/>
      <c r="F87" s="251"/>
      <c r="G87" s="248"/>
      <c r="H87" s="251"/>
    </row>
    <row r="88">
      <c r="A88" s="248"/>
      <c r="B88" s="248"/>
      <c r="C88" s="251"/>
      <c r="D88" s="251"/>
      <c r="E88" s="248"/>
      <c r="F88" s="251"/>
      <c r="G88" s="248"/>
      <c r="H88" s="251"/>
    </row>
    <row r="89">
      <c r="A89" s="248"/>
      <c r="B89" s="248"/>
      <c r="C89" s="251"/>
      <c r="D89" s="251"/>
      <c r="E89" s="248"/>
      <c r="F89" s="251"/>
      <c r="G89" s="248"/>
      <c r="H89" s="251"/>
    </row>
    <row r="90" ht="38.25" customHeight="1">
      <c r="A90" s="248"/>
      <c r="B90" s="248"/>
      <c r="C90" s="248"/>
      <c r="D90" s="248"/>
      <c r="E90" s="248"/>
      <c r="F90" s="248"/>
      <c r="G90" s="248"/>
      <c r="H90" s="251"/>
    </row>
    <row r="91">
      <c r="A91" s="248"/>
      <c r="B91" s="248"/>
      <c r="C91" s="248"/>
      <c r="D91" s="251"/>
      <c r="E91" s="248"/>
      <c r="F91" s="251"/>
      <c r="G91" s="248"/>
      <c r="H91" s="251"/>
    </row>
    <row r="92">
      <c r="A92" s="248"/>
      <c r="B92" s="248"/>
      <c r="C92" s="251"/>
      <c r="D92" s="251"/>
      <c r="E92" s="248"/>
      <c r="F92" s="251"/>
      <c r="G92" s="248"/>
      <c r="H92" s="251"/>
    </row>
    <row r="93">
      <c r="A93" s="248"/>
      <c r="B93" s="248"/>
      <c r="C93" s="248"/>
      <c r="D93" s="251"/>
      <c r="E93" s="248"/>
      <c r="F93" s="251"/>
      <c r="G93" s="248"/>
      <c r="H93" s="251"/>
    </row>
    <row r="94">
      <c r="A94" s="248"/>
      <c r="B94" s="248"/>
      <c r="C94" s="248"/>
      <c r="D94" s="251"/>
      <c r="E94" s="248"/>
      <c r="F94" s="251"/>
      <c r="G94" s="248"/>
      <c r="H94" s="251"/>
    </row>
    <row r="95" ht="38.25" customHeight="1">
      <c r="A95" s="248"/>
      <c r="B95" s="248"/>
      <c r="C95" s="248"/>
      <c r="D95" s="248"/>
      <c r="E95" s="248"/>
      <c r="F95" s="248"/>
      <c r="G95" s="248"/>
      <c r="H95" s="251"/>
    </row>
    <row r="96">
      <c r="A96" s="248"/>
      <c r="B96" s="248"/>
      <c r="C96" s="248"/>
      <c r="D96" s="251"/>
      <c r="E96" s="248"/>
      <c r="F96" s="251"/>
      <c r="G96" s="248"/>
      <c r="H96" s="251"/>
    </row>
    <row r="97">
      <c r="A97" s="248"/>
      <c r="B97" s="248"/>
      <c r="C97" s="248"/>
      <c r="D97" s="251"/>
      <c r="E97" s="248"/>
      <c r="F97" s="251"/>
      <c r="G97" s="248"/>
      <c r="H97" s="251"/>
    </row>
    <row r="98">
      <c r="A98" s="248"/>
      <c r="B98" s="248"/>
      <c r="C98" s="248"/>
      <c r="D98" s="251"/>
      <c r="E98" s="248"/>
      <c r="F98" s="251"/>
      <c r="G98" s="248"/>
      <c r="H98" s="251"/>
    </row>
    <row r="99">
      <c r="A99" s="248"/>
      <c r="B99" s="248"/>
      <c r="C99" s="248"/>
      <c r="D99" s="251"/>
      <c r="E99" s="248"/>
      <c r="F99" s="251"/>
      <c r="G99" s="248"/>
      <c r="H99" s="251"/>
    </row>
    <row r="100">
      <c r="A100" s="248"/>
      <c r="B100" s="248"/>
      <c r="C100" s="251"/>
      <c r="D100" s="251"/>
      <c r="E100" s="251"/>
      <c r="F100" s="251"/>
      <c r="G100" s="251"/>
      <c r="H100" s="251"/>
    </row>
    <row r="101">
      <c r="A101" s="248"/>
      <c r="B101" s="248"/>
      <c r="C101" s="251"/>
      <c r="D101" s="251"/>
      <c r="E101" s="251"/>
      <c r="F101" s="251"/>
      <c r="G101" s="251"/>
      <c r="H101" s="251"/>
    </row>
    <row r="102">
      <c r="A102" s="248"/>
      <c r="B102" s="248"/>
      <c r="C102" s="251"/>
      <c r="D102" s="251"/>
      <c r="E102" s="251"/>
      <c r="F102" s="251"/>
      <c r="G102" s="251"/>
      <c r="H102" s="251"/>
    </row>
    <row r="103">
      <c r="A103" s="248"/>
      <c r="B103" s="248"/>
      <c r="C103" s="251"/>
      <c r="D103" s="251"/>
      <c r="E103" s="251"/>
      <c r="F103" s="251"/>
      <c r="G103" s="251"/>
      <c r="H103" s="251"/>
    </row>
    <row r="104">
      <c r="A104" s="248"/>
      <c r="B104" s="248"/>
      <c r="C104" s="251"/>
      <c r="D104" s="251"/>
      <c r="E104" s="251"/>
      <c r="F104" s="251"/>
      <c r="G104" s="251"/>
      <c r="H104" s="251"/>
    </row>
    <row r="105">
      <c r="A105" s="248"/>
      <c r="B105" s="248"/>
      <c r="C105" s="251"/>
      <c r="D105" s="251"/>
      <c r="E105" s="251"/>
      <c r="F105" s="251"/>
      <c r="G105" s="251"/>
      <c r="H105" s="251"/>
    </row>
    <row r="106">
      <c r="A106" s="251"/>
      <c r="B106" s="251"/>
      <c r="C106" s="251"/>
      <c r="D106" s="251"/>
      <c r="E106" s="251"/>
      <c r="F106" s="251"/>
      <c r="G106" s="251"/>
      <c r="H106" s="251"/>
    </row>
    <row r="107">
      <c r="A107" s="251"/>
      <c r="B107" s="251"/>
      <c r="C107" s="251"/>
      <c r="D107" s="251"/>
      <c r="E107" s="251"/>
      <c r="F107" s="251"/>
      <c r="G107" s="251"/>
      <c r="H107" s="251"/>
    </row>
    <row r="108">
      <c r="A108" s="251"/>
      <c r="B108" s="251"/>
      <c r="C108" s="251"/>
      <c r="D108" s="251"/>
      <c r="E108" s="251"/>
      <c r="F108" s="251"/>
      <c r="G108" s="251"/>
      <c r="H108" s="251"/>
    </row>
    <row r="109">
      <c r="A109" s="251"/>
      <c r="B109" s="251"/>
      <c r="C109" s="251"/>
      <c r="D109" s="251"/>
      <c r="E109" s="251"/>
      <c r="F109" s="251"/>
      <c r="G109" s="251"/>
      <c r="H109" s="251"/>
    </row>
    <row r="110">
      <c r="A110" s="251"/>
      <c r="B110" s="251"/>
      <c r="C110" s="251"/>
      <c r="D110" s="251"/>
      <c r="E110" s="251"/>
      <c r="F110" s="251"/>
      <c r="G110" s="251"/>
      <c r="H110" s="251"/>
    </row>
    <row r="111">
      <c r="A111" s="251"/>
      <c r="B111" s="251"/>
      <c r="C111" s="251"/>
      <c r="D111" s="251"/>
      <c r="E111" s="251"/>
      <c r="F111" s="251"/>
      <c r="G111" s="251"/>
      <c r="H111" s="251"/>
    </row>
    <row r="112">
      <c r="A112" s="251"/>
      <c r="B112" s="251"/>
      <c r="C112" s="251"/>
      <c r="D112" s="251"/>
      <c r="E112" s="251"/>
      <c r="F112" s="251"/>
      <c r="G112" s="251"/>
      <c r="H112" s="251"/>
    </row>
    <row r="113">
      <c r="A113" s="251"/>
      <c r="B113" s="251"/>
      <c r="C113" s="251"/>
      <c r="D113" s="251"/>
      <c r="E113" s="251"/>
      <c r="F113" s="251"/>
      <c r="G113" s="251"/>
      <c r="H113" s="251"/>
    </row>
    <row r="114">
      <c r="A114" s="251"/>
      <c r="B114" s="251"/>
      <c r="C114" s="251"/>
      <c r="D114" s="251"/>
      <c r="E114" s="251"/>
      <c r="F114" s="251"/>
      <c r="G114" s="251"/>
      <c r="H114" s="251"/>
    </row>
    <row r="115">
      <c r="A115" s="251"/>
      <c r="B115" s="251"/>
      <c r="C115" s="251"/>
      <c r="D115" s="251"/>
      <c r="E115" s="251"/>
      <c r="F115" s="251"/>
      <c r="G115" s="251"/>
      <c r="H115" s="251"/>
    </row>
    <row r="116">
      <c r="A116" s="251"/>
      <c r="B116" s="251"/>
      <c r="C116" s="251"/>
      <c r="D116" s="251"/>
      <c r="E116" s="251"/>
      <c r="F116" s="251"/>
      <c r="G116" s="251"/>
      <c r="H116" s="251"/>
    </row>
    <row r="117">
      <c r="A117" s="251"/>
      <c r="B117" s="251"/>
      <c r="C117" s="251"/>
      <c r="D117" s="251"/>
      <c r="E117" s="251"/>
      <c r="F117" s="251"/>
      <c r="G117" s="251"/>
      <c r="H117" s="251"/>
    </row>
    <row r="118">
      <c r="A118" s="251"/>
      <c r="B118" s="251"/>
      <c r="C118" s="251"/>
      <c r="D118" s="251"/>
      <c r="E118" s="251"/>
      <c r="F118" s="251"/>
      <c r="G118" s="251"/>
      <c r="H118" s="251"/>
    </row>
    <row r="119">
      <c r="A119" s="251"/>
      <c r="B119" s="251"/>
      <c r="C119" s="251"/>
      <c r="D119" s="251"/>
      <c r="E119" s="251"/>
      <c r="F119" s="251"/>
      <c r="G119" s="251"/>
      <c r="H119" s="251"/>
    </row>
    <row r="120">
      <c r="A120" s="251"/>
      <c r="B120" s="251"/>
      <c r="C120" s="251"/>
      <c r="D120" s="251"/>
      <c r="E120" s="251"/>
      <c r="F120" s="251"/>
      <c r="G120" s="251"/>
      <c r="H120" s="251"/>
    </row>
    <row r="121">
      <c r="A121" s="251"/>
      <c r="B121" s="251"/>
      <c r="C121" s="251"/>
      <c r="D121" s="251"/>
      <c r="E121" s="251"/>
      <c r="F121" s="251"/>
      <c r="G121" s="251"/>
      <c r="H121" s="251"/>
    </row>
    <row r="122">
      <c r="A122" s="251"/>
      <c r="B122" s="251"/>
      <c r="C122" s="251"/>
      <c r="D122" s="251"/>
      <c r="E122" s="251"/>
      <c r="F122" s="251"/>
      <c r="G122" s="251"/>
      <c r="H122" s="251"/>
    </row>
    <row r="123">
      <c r="A123" s="251"/>
      <c r="B123" s="251"/>
      <c r="C123" s="251"/>
      <c r="D123" s="251"/>
      <c r="E123" s="251"/>
      <c r="F123" s="251"/>
      <c r="G123" s="251"/>
      <c r="H123" s="251"/>
    </row>
    <row r="124">
      <c r="A124" s="251"/>
      <c r="B124" s="251"/>
      <c r="C124" s="251"/>
      <c r="D124" s="251"/>
      <c r="E124" s="251"/>
      <c r="F124" s="251"/>
      <c r="G124" s="251"/>
      <c r="H124" s="251"/>
    </row>
    <row r="125">
      <c r="A125" s="251"/>
      <c r="B125" s="251"/>
      <c r="C125" s="251"/>
      <c r="D125" s="251"/>
      <c r="E125" s="251"/>
      <c r="F125" s="251"/>
      <c r="G125" s="251"/>
      <c r="H125" s="251"/>
    </row>
    <row r="126">
      <c r="A126" s="251"/>
      <c r="B126" s="251"/>
      <c r="C126" s="251"/>
      <c r="D126" s="251"/>
      <c r="E126" s="251"/>
      <c r="F126" s="251"/>
      <c r="G126" s="251"/>
      <c r="H126" s="251"/>
    </row>
    <row r="127">
      <c r="A127" s="251"/>
      <c r="B127" s="251"/>
      <c r="C127" s="251"/>
      <c r="D127" s="251"/>
      <c r="E127" s="251"/>
      <c r="F127" s="251"/>
      <c r="G127" s="251"/>
      <c r="H127" s="251"/>
    </row>
    <row r="128">
      <c r="A128" s="251"/>
      <c r="B128" s="251"/>
      <c r="C128" s="251"/>
      <c r="D128" s="251"/>
      <c r="E128" s="251"/>
      <c r="F128" s="251"/>
      <c r="G128" s="251"/>
      <c r="H128" s="251"/>
    </row>
    <row r="129">
      <c r="A129" s="251"/>
      <c r="B129" s="251"/>
      <c r="C129" s="251"/>
      <c r="D129" s="251"/>
      <c r="E129" s="251"/>
      <c r="F129" s="251"/>
      <c r="G129" s="251"/>
      <c r="H129" s="251"/>
    </row>
    <row r="130">
      <c r="A130" s="251"/>
      <c r="B130" s="251"/>
      <c r="C130" s="251"/>
      <c r="D130" s="251"/>
      <c r="E130" s="251"/>
      <c r="F130" s="251"/>
      <c r="G130" s="251"/>
      <c r="H130" s="251"/>
    </row>
    <row r="131">
      <c r="A131" s="251"/>
      <c r="B131" s="251"/>
      <c r="C131" s="251"/>
      <c r="D131" s="251"/>
      <c r="E131" s="251"/>
      <c r="F131" s="251"/>
      <c r="G131" s="251"/>
      <c r="H131" s="251"/>
    </row>
    <row r="132">
      <c r="A132" s="251"/>
      <c r="B132" s="251"/>
      <c r="C132" s="251"/>
      <c r="D132" s="251"/>
      <c r="E132" s="251"/>
      <c r="F132" s="251"/>
      <c r="G132" s="251"/>
      <c r="H132" s="251"/>
    </row>
    <row r="133">
      <c r="A133" s="251"/>
      <c r="B133" s="251"/>
      <c r="C133" s="251"/>
      <c r="D133" s="251"/>
      <c r="E133" s="251"/>
      <c r="F133" s="251"/>
      <c r="G133" s="251"/>
      <c r="H133" s="251"/>
    </row>
    <row r="134">
      <c r="A134" s="251"/>
      <c r="B134" s="251"/>
      <c r="C134" s="251"/>
      <c r="D134" s="251"/>
      <c r="E134" s="251"/>
      <c r="F134" s="251"/>
      <c r="G134" s="251"/>
      <c r="H134" s="251"/>
    </row>
    <row r="135">
      <c r="A135" s="251"/>
      <c r="B135" s="251"/>
      <c r="C135" s="251"/>
      <c r="D135" s="251"/>
      <c r="E135" s="251"/>
      <c r="F135" s="251"/>
      <c r="G135" s="251"/>
      <c r="H135" s="251"/>
    </row>
    <row r="136">
      <c r="A136" s="251"/>
      <c r="B136" s="251"/>
      <c r="C136" s="251"/>
      <c r="D136" s="251"/>
      <c r="E136" s="251"/>
      <c r="F136" s="251"/>
      <c r="G136" s="251"/>
      <c r="H136" s="251"/>
    </row>
    <row r="137">
      <c r="A137" s="251"/>
      <c r="B137" s="251"/>
      <c r="C137" s="251"/>
      <c r="D137" s="251"/>
      <c r="E137" s="251"/>
      <c r="F137" s="251"/>
      <c r="G137" s="251"/>
      <c r="H137" s="251"/>
    </row>
    <row r="138">
      <c r="A138" s="251"/>
      <c r="B138" s="251"/>
      <c r="C138" s="251"/>
      <c r="D138" s="251"/>
      <c r="E138" s="251"/>
      <c r="F138" s="251"/>
      <c r="G138" s="251"/>
      <c r="H138" s="251"/>
    </row>
    <row r="139">
      <c r="A139" s="251"/>
      <c r="B139" s="251"/>
      <c r="C139" s="251"/>
      <c r="D139" s="251"/>
      <c r="E139" s="251"/>
      <c r="F139" s="251"/>
      <c r="G139" s="251"/>
      <c r="H139" s="251"/>
    </row>
    <row r="140">
      <c r="A140" s="251"/>
      <c r="B140" s="251"/>
      <c r="C140" s="251"/>
      <c r="D140" s="251"/>
      <c r="E140" s="251"/>
      <c r="F140" s="251"/>
      <c r="G140" s="251"/>
      <c r="H140" s="251"/>
    </row>
    <row r="141">
      <c r="A141" s="251"/>
      <c r="B141" s="251"/>
      <c r="C141" s="251"/>
      <c r="D141" s="251"/>
      <c r="E141" s="251"/>
      <c r="F141" s="251"/>
      <c r="G141" s="251"/>
      <c r="H141" s="251"/>
    </row>
    <row r="142">
      <c r="A142" s="251"/>
      <c r="B142" s="251"/>
      <c r="C142" s="251"/>
      <c r="D142" s="251"/>
      <c r="E142" s="251"/>
      <c r="F142" s="251"/>
      <c r="G142" s="251"/>
      <c r="H142" s="251"/>
    </row>
    <row r="143">
      <c r="A143" s="251"/>
      <c r="B143" s="251"/>
      <c r="C143" s="251"/>
      <c r="D143" s="251"/>
      <c r="E143" s="251"/>
      <c r="F143" s="251"/>
      <c r="G143" s="251"/>
      <c r="H143" s="251"/>
    </row>
    <row r="144">
      <c r="A144" s="251"/>
      <c r="B144" s="251"/>
      <c r="C144" s="251"/>
      <c r="D144" s="251"/>
      <c r="E144" s="251"/>
      <c r="F144" s="251"/>
      <c r="G144" s="251"/>
      <c r="H144" s="251"/>
    </row>
    <row r="145">
      <c r="A145" s="251"/>
      <c r="B145" s="251"/>
      <c r="C145" s="251"/>
      <c r="D145" s="251"/>
      <c r="E145" s="251"/>
      <c r="F145" s="251"/>
      <c r="G145" s="251"/>
      <c r="H145" s="251"/>
    </row>
    <row r="146">
      <c r="A146" s="251"/>
      <c r="B146" s="251"/>
      <c r="C146" s="251"/>
      <c r="D146" s="251"/>
      <c r="E146" s="251"/>
      <c r="F146" s="251"/>
      <c r="G146" s="251"/>
      <c r="H146" s="251"/>
    </row>
    <row r="147">
      <c r="A147" s="251"/>
      <c r="B147" s="251"/>
      <c r="C147" s="251"/>
      <c r="D147" s="251"/>
      <c r="E147" s="251"/>
      <c r="F147" s="251"/>
      <c r="G147" s="251"/>
      <c r="H147" s="251"/>
    </row>
    <row r="148">
      <c r="A148" s="251"/>
      <c r="B148" s="251"/>
      <c r="C148" s="251"/>
      <c r="D148" s="251"/>
      <c r="E148" s="251"/>
      <c r="F148" s="251"/>
      <c r="G148" s="251"/>
      <c r="H148" s="251"/>
    </row>
    <row r="149">
      <c r="A149" s="251"/>
      <c r="B149" s="251"/>
      <c r="C149" s="251"/>
      <c r="D149" s="251"/>
      <c r="E149" s="251"/>
      <c r="F149" s="251"/>
      <c r="G149" s="251"/>
      <c r="H149" s="251"/>
    </row>
    <row r="150">
      <c r="A150" s="251"/>
      <c r="B150" s="251"/>
      <c r="C150" s="251"/>
      <c r="D150" s="251"/>
      <c r="E150" s="251"/>
      <c r="F150" s="251"/>
      <c r="G150" s="251"/>
      <c r="H150" s="251"/>
    </row>
    <row r="151">
      <c r="A151" s="251"/>
      <c r="B151" s="251"/>
      <c r="C151" s="251"/>
      <c r="D151" s="251"/>
      <c r="E151" s="251"/>
      <c r="F151" s="251"/>
      <c r="G151" s="251"/>
      <c r="H151" s="251"/>
    </row>
    <row r="152">
      <c r="A152" s="251"/>
      <c r="B152" s="251"/>
      <c r="C152" s="251"/>
      <c r="D152" s="251"/>
      <c r="E152" s="251"/>
      <c r="F152" s="251"/>
      <c r="G152" s="251"/>
      <c r="H152" s="251"/>
    </row>
    <row r="153">
      <c r="A153" s="251"/>
      <c r="B153" s="251"/>
      <c r="C153" s="251"/>
      <c r="D153" s="251"/>
      <c r="E153" s="251"/>
      <c r="F153" s="251"/>
      <c r="G153" s="251"/>
      <c r="H153" s="251"/>
    </row>
    <row r="154">
      <c r="A154" s="251"/>
      <c r="B154" s="251"/>
      <c r="C154" s="251"/>
      <c r="D154" s="251"/>
      <c r="E154" s="251"/>
      <c r="F154" s="251"/>
      <c r="G154" s="251"/>
      <c r="H154" s="251"/>
    </row>
    <row r="155">
      <c r="A155" s="251"/>
      <c r="B155" s="251"/>
      <c r="C155" s="251"/>
      <c r="D155" s="251"/>
      <c r="E155" s="251"/>
      <c r="F155" s="251"/>
      <c r="G155" s="251"/>
      <c r="H155" s="251"/>
    </row>
    <row r="156">
      <c r="A156" s="251"/>
      <c r="B156" s="251"/>
      <c r="C156" s="251"/>
      <c r="D156" s="251"/>
      <c r="E156" s="251"/>
      <c r="F156" s="251"/>
      <c r="G156" s="251"/>
      <c r="H156" s="251"/>
    </row>
    <row r="157">
      <c r="A157" s="251"/>
      <c r="B157" s="251"/>
      <c r="C157" s="251"/>
      <c r="D157" s="251"/>
      <c r="E157" s="251"/>
      <c r="F157" s="251"/>
      <c r="G157" s="251"/>
      <c r="H157" s="251"/>
    </row>
    <row r="158">
      <c r="A158" s="251"/>
      <c r="B158" s="251"/>
      <c r="C158" s="251"/>
      <c r="D158" s="251"/>
      <c r="E158" s="251"/>
      <c r="F158" s="251"/>
      <c r="G158" s="251"/>
      <c r="H158" s="251"/>
    </row>
    <row r="159">
      <c r="A159" s="251"/>
      <c r="B159" s="251"/>
      <c r="C159" s="251"/>
      <c r="D159" s="251"/>
      <c r="E159" s="251"/>
      <c r="F159" s="251"/>
      <c r="G159" s="251"/>
      <c r="H159" s="251"/>
    </row>
    <row r="160">
      <c r="A160" s="251"/>
      <c r="B160" s="251"/>
      <c r="C160" s="251"/>
      <c r="D160" s="251"/>
      <c r="E160" s="251"/>
      <c r="F160" s="251"/>
      <c r="G160" s="251"/>
      <c r="H160" s="251"/>
    </row>
    <row r="161">
      <c r="A161" s="251"/>
      <c r="B161" s="251"/>
      <c r="C161" s="251"/>
      <c r="D161" s="251"/>
      <c r="E161" s="251"/>
      <c r="F161" s="251"/>
      <c r="G161" s="251"/>
      <c r="H161" s="251"/>
    </row>
    <row r="162">
      <c r="A162" s="251"/>
      <c r="B162" s="251"/>
      <c r="C162" s="251"/>
      <c r="D162" s="251"/>
      <c r="E162" s="251"/>
      <c r="F162" s="251"/>
      <c r="G162" s="251"/>
      <c r="H162" s="251"/>
    </row>
    <row r="163">
      <c r="A163" s="251"/>
      <c r="B163" s="251"/>
      <c r="C163" s="251"/>
      <c r="D163" s="251"/>
      <c r="E163" s="251"/>
      <c r="F163" s="251"/>
      <c r="G163" s="251"/>
      <c r="H163" s="251"/>
    </row>
    <row r="164">
      <c r="A164" s="251"/>
      <c r="B164" s="251"/>
      <c r="C164" s="251"/>
      <c r="D164" s="251"/>
      <c r="E164" s="251"/>
      <c r="F164" s="251"/>
      <c r="G164" s="251"/>
      <c r="H164" s="251"/>
    </row>
    <row r="165">
      <c r="A165" s="251"/>
      <c r="B165" s="251"/>
      <c r="C165" s="251"/>
      <c r="D165" s="251"/>
      <c r="E165" s="251"/>
      <c r="F165" s="251"/>
      <c r="G165" s="251"/>
      <c r="H165" s="251"/>
    </row>
    <row r="166">
      <c r="A166" s="251"/>
      <c r="B166" s="251"/>
      <c r="C166" s="251"/>
      <c r="D166" s="251"/>
      <c r="E166" s="251"/>
      <c r="F166" s="251"/>
      <c r="G166" s="251"/>
      <c r="H166" s="251"/>
    </row>
    <row r="167">
      <c r="A167" s="251"/>
      <c r="B167" s="251"/>
      <c r="C167" s="251"/>
      <c r="D167" s="251"/>
      <c r="E167" s="251"/>
      <c r="F167" s="251"/>
      <c r="G167" s="251"/>
      <c r="H167" s="251"/>
    </row>
    <row r="168">
      <c r="A168" s="251"/>
      <c r="B168" s="251"/>
      <c r="C168" s="251"/>
      <c r="D168" s="251"/>
      <c r="E168" s="251"/>
      <c r="F168" s="251"/>
      <c r="G168" s="251"/>
      <c r="H168" s="251"/>
    </row>
    <row r="169">
      <c r="A169" s="251"/>
      <c r="B169" s="251"/>
      <c r="C169" s="251"/>
      <c r="D169" s="251"/>
      <c r="E169" s="251"/>
      <c r="F169" s="251"/>
      <c r="G169" s="251"/>
      <c r="H169" s="251"/>
    </row>
    <row r="170">
      <c r="A170" s="251"/>
      <c r="B170" s="251"/>
      <c r="C170" s="251"/>
      <c r="D170" s="251"/>
      <c r="E170" s="251"/>
      <c r="F170" s="251"/>
      <c r="G170" s="251"/>
      <c r="H170" s="251"/>
    </row>
    <row r="171">
      <c r="A171" s="251"/>
      <c r="B171" s="251"/>
      <c r="C171" s="251"/>
      <c r="D171" s="251"/>
      <c r="E171" s="251"/>
      <c r="F171" s="251"/>
      <c r="G171" s="251"/>
      <c r="H171" s="251"/>
    </row>
    <row r="172">
      <c r="A172" s="251"/>
      <c r="B172" s="251"/>
      <c r="C172" s="251"/>
      <c r="D172" s="251"/>
      <c r="E172" s="251"/>
      <c r="F172" s="251"/>
      <c r="G172" s="251"/>
      <c r="H172" s="251"/>
    </row>
    <row r="173">
      <c r="A173" s="251"/>
      <c r="B173" s="251"/>
      <c r="C173" s="251"/>
      <c r="D173" s="251"/>
      <c r="E173" s="251"/>
      <c r="F173" s="251"/>
      <c r="G173" s="251"/>
      <c r="H173" s="251"/>
    </row>
    <row r="174">
      <c r="A174" s="251"/>
      <c r="B174" s="251"/>
      <c r="C174" s="251"/>
      <c r="D174" s="251"/>
      <c r="E174" s="251"/>
      <c r="F174" s="251"/>
      <c r="G174" s="251"/>
      <c r="H174" s="251"/>
    </row>
    <row r="175">
      <c r="A175" s="251"/>
      <c r="B175" s="251"/>
      <c r="C175" s="251"/>
      <c r="D175" s="251"/>
      <c r="E175" s="251"/>
      <c r="F175" s="251"/>
      <c r="G175" s="251"/>
      <c r="H175" s="251"/>
    </row>
    <row r="176">
      <c r="A176" s="251"/>
      <c r="B176" s="251"/>
      <c r="C176" s="251"/>
      <c r="D176" s="251"/>
      <c r="E176" s="251"/>
      <c r="F176" s="251"/>
      <c r="G176" s="251"/>
      <c r="H176" s="251"/>
    </row>
    <row r="177">
      <c r="A177" s="251"/>
      <c r="B177" s="251"/>
      <c r="C177" s="251"/>
      <c r="D177" s="251"/>
      <c r="E177" s="251"/>
      <c r="F177" s="251"/>
      <c r="G177" s="251"/>
      <c r="H177" s="251"/>
    </row>
    <row r="178">
      <c r="A178" s="251"/>
      <c r="B178" s="251"/>
      <c r="C178" s="251"/>
      <c r="D178" s="251"/>
      <c r="E178" s="251"/>
      <c r="F178" s="251"/>
      <c r="G178" s="251"/>
      <c r="H178" s="251"/>
    </row>
    <row r="179">
      <c r="A179" s="251"/>
      <c r="B179" s="251"/>
      <c r="C179" s="251"/>
      <c r="D179" s="251"/>
      <c r="E179" s="251"/>
      <c r="F179" s="251"/>
      <c r="G179" s="251"/>
      <c r="H179" s="251"/>
    </row>
    <row r="180">
      <c r="A180" s="251"/>
      <c r="B180" s="251"/>
      <c r="C180" s="251"/>
      <c r="D180" s="251"/>
      <c r="E180" s="251"/>
      <c r="F180" s="251"/>
      <c r="G180" s="251"/>
      <c r="H180" s="251"/>
    </row>
    <row r="181">
      <c r="A181" s="251"/>
      <c r="B181" s="251"/>
      <c r="C181" s="251"/>
      <c r="D181" s="251"/>
      <c r="E181" s="251"/>
      <c r="F181" s="251"/>
      <c r="G181" s="251"/>
      <c r="H181" s="251"/>
    </row>
    <row r="182">
      <c r="A182" s="251"/>
      <c r="B182" s="251"/>
      <c r="C182" s="251"/>
      <c r="D182" s="251"/>
      <c r="E182" s="251"/>
      <c r="F182" s="251"/>
      <c r="G182" s="251"/>
      <c r="H182" s="251"/>
    </row>
    <row r="183">
      <c r="A183" s="251"/>
      <c r="B183" s="251"/>
      <c r="C183" s="251"/>
      <c r="D183" s="251"/>
      <c r="E183" s="251"/>
      <c r="F183" s="251"/>
      <c r="G183" s="251"/>
      <c r="H183" s="251"/>
    </row>
    <row r="184">
      <c r="A184" s="251"/>
      <c r="B184" s="251"/>
      <c r="C184" s="251"/>
      <c r="D184" s="251"/>
      <c r="E184" s="251"/>
      <c r="F184" s="251"/>
      <c r="G184" s="251"/>
      <c r="H184" s="251"/>
    </row>
    <row r="185">
      <c r="A185" s="251"/>
      <c r="B185" s="251"/>
      <c r="C185" s="251"/>
      <c r="D185" s="251"/>
      <c r="E185" s="251"/>
      <c r="F185" s="251"/>
      <c r="G185" s="251"/>
      <c r="H185" s="251"/>
    </row>
    <row r="186">
      <c r="A186" s="251"/>
      <c r="B186" s="251"/>
      <c r="C186" s="251"/>
      <c r="D186" s="251"/>
      <c r="E186" s="251"/>
      <c r="F186" s="251"/>
      <c r="G186" s="251"/>
      <c r="H186" s="251"/>
    </row>
    <row r="187">
      <c r="A187" s="251"/>
      <c r="B187" s="251"/>
      <c r="C187" s="251"/>
      <c r="D187" s="251"/>
      <c r="E187" s="251"/>
      <c r="F187" s="251"/>
      <c r="G187" s="251"/>
      <c r="H187" s="251"/>
    </row>
    <row r="188">
      <c r="A188" s="251"/>
      <c r="B188" s="251"/>
      <c r="C188" s="251"/>
      <c r="D188" s="251"/>
      <c r="E188" s="251"/>
      <c r="F188" s="251"/>
      <c r="G188" s="251"/>
      <c r="H188" s="251"/>
    </row>
    <row r="189">
      <c r="A189" s="251"/>
      <c r="B189" s="251"/>
      <c r="C189" s="251"/>
      <c r="D189" s="251"/>
      <c r="E189" s="251"/>
      <c r="F189" s="251"/>
      <c r="G189" s="251"/>
      <c r="H189" s="251"/>
    </row>
    <row r="190">
      <c r="A190" s="251"/>
      <c r="B190" s="251"/>
      <c r="C190" s="251"/>
      <c r="D190" s="251"/>
      <c r="E190" s="251"/>
      <c r="F190" s="251"/>
      <c r="G190" s="251"/>
      <c r="H190" s="251"/>
    </row>
    <row r="191">
      <c r="A191" s="251"/>
      <c r="B191" s="251"/>
      <c r="C191" s="251"/>
      <c r="D191" s="251"/>
      <c r="E191" s="251"/>
      <c r="F191" s="251"/>
      <c r="G191" s="251"/>
      <c r="H191" s="251"/>
    </row>
    <row r="192">
      <c r="A192" s="251"/>
      <c r="B192" s="251"/>
      <c r="C192" s="251"/>
      <c r="D192" s="251"/>
      <c r="E192" s="251"/>
      <c r="F192" s="251"/>
      <c r="G192" s="251"/>
      <c r="H192" s="251"/>
    </row>
    <row r="193">
      <c r="A193" s="251"/>
      <c r="B193" s="251"/>
      <c r="C193" s="251"/>
      <c r="D193" s="251"/>
      <c r="E193" s="251"/>
      <c r="F193" s="251"/>
      <c r="G193" s="251"/>
      <c r="H193" s="251"/>
    </row>
    <row r="194">
      <c r="A194" s="251"/>
      <c r="B194" s="251"/>
      <c r="C194" s="251"/>
      <c r="D194" s="251"/>
      <c r="E194" s="251"/>
      <c r="F194" s="251"/>
      <c r="G194" s="251"/>
      <c r="H194" s="251"/>
    </row>
    <row r="195">
      <c r="A195" s="251"/>
      <c r="B195" s="251"/>
      <c r="C195" s="251"/>
      <c r="D195" s="251"/>
      <c r="E195" s="251"/>
      <c r="F195" s="251"/>
      <c r="G195" s="251"/>
      <c r="H195" s="251"/>
    </row>
    <row r="196">
      <c r="A196" s="251"/>
      <c r="B196" s="251"/>
      <c r="C196" s="251"/>
      <c r="D196" s="251"/>
      <c r="E196" s="251"/>
      <c r="F196" s="251"/>
      <c r="G196" s="251"/>
      <c r="H196" s="251"/>
    </row>
    <row r="197">
      <c r="A197" s="251"/>
      <c r="B197" s="251"/>
      <c r="C197" s="251"/>
      <c r="D197" s="251"/>
      <c r="E197" s="251"/>
      <c r="F197" s="251"/>
      <c r="G197" s="251"/>
      <c r="H197" s="251"/>
    </row>
    <row r="198">
      <c r="A198" s="251"/>
      <c r="B198" s="251"/>
      <c r="C198" s="251"/>
      <c r="D198" s="251"/>
      <c r="E198" s="251"/>
      <c r="F198" s="251"/>
      <c r="G198" s="251"/>
      <c r="H198" s="251"/>
    </row>
    <row r="199">
      <c r="A199" s="251"/>
      <c r="B199" s="251"/>
      <c r="C199" s="251"/>
      <c r="D199" s="251"/>
      <c r="E199" s="251"/>
      <c r="F199" s="251"/>
      <c r="G199" s="251"/>
      <c r="H199" s="251"/>
    </row>
    <row r="200">
      <c r="A200" s="251"/>
      <c r="B200" s="251"/>
      <c r="C200" s="251"/>
      <c r="D200" s="251"/>
      <c r="E200" s="251"/>
      <c r="F200" s="251"/>
      <c r="G200" s="251"/>
      <c r="H200" s="251"/>
    </row>
    <row r="201">
      <c r="A201" s="251"/>
      <c r="B201" s="251"/>
      <c r="C201" s="251"/>
      <c r="D201" s="251"/>
      <c r="E201" s="251"/>
      <c r="F201" s="251"/>
      <c r="G201" s="251"/>
      <c r="H201" s="251"/>
    </row>
    <row r="202">
      <c r="A202" s="251"/>
      <c r="B202" s="251"/>
      <c r="C202" s="251"/>
      <c r="D202" s="251"/>
      <c r="E202" s="251"/>
      <c r="F202" s="251"/>
      <c r="G202" s="251"/>
      <c r="H202" s="251"/>
    </row>
    <row r="203">
      <c r="A203" s="251"/>
      <c r="B203" s="251"/>
      <c r="C203" s="251"/>
      <c r="D203" s="251"/>
      <c r="E203" s="251"/>
      <c r="F203" s="251"/>
      <c r="G203" s="251"/>
      <c r="H203" s="251"/>
    </row>
    <row r="204">
      <c r="A204" s="251"/>
      <c r="B204" s="251"/>
      <c r="C204" s="251"/>
      <c r="D204" s="251"/>
      <c r="E204" s="251"/>
      <c r="F204" s="251"/>
      <c r="G204" s="251"/>
      <c r="H204" s="251"/>
    </row>
    <row r="205">
      <c r="A205" s="251"/>
      <c r="B205" s="251"/>
      <c r="C205" s="251"/>
      <c r="D205" s="251"/>
      <c r="E205" s="251"/>
      <c r="F205" s="251"/>
      <c r="G205" s="251"/>
      <c r="H205" s="251"/>
    </row>
    <row r="206">
      <c r="A206" s="251"/>
      <c r="B206" s="251"/>
      <c r="C206" s="251"/>
      <c r="D206" s="251"/>
      <c r="E206" s="251"/>
      <c r="F206" s="251"/>
      <c r="G206" s="251"/>
      <c r="H206" s="251"/>
    </row>
    <row r="207">
      <c r="A207" s="251"/>
      <c r="B207" s="251"/>
      <c r="C207" s="251"/>
      <c r="D207" s="251"/>
      <c r="E207" s="251"/>
      <c r="F207" s="251"/>
      <c r="G207" s="251"/>
      <c r="H207" s="251"/>
    </row>
    <row r="208">
      <c r="A208" s="251"/>
      <c r="B208" s="251"/>
      <c r="C208" s="251"/>
      <c r="D208" s="251"/>
      <c r="E208" s="251"/>
      <c r="F208" s="251"/>
      <c r="G208" s="251"/>
      <c r="H208" s="251"/>
    </row>
    <row r="209">
      <c r="A209" s="251"/>
      <c r="B209" s="251"/>
      <c r="C209" s="251"/>
      <c r="D209" s="251"/>
      <c r="E209" s="251"/>
      <c r="F209" s="251"/>
      <c r="G209" s="251"/>
      <c r="H209" s="251"/>
    </row>
    <row r="210">
      <c r="A210" s="251"/>
      <c r="B210" s="251"/>
      <c r="C210" s="251"/>
      <c r="D210" s="251"/>
      <c r="E210" s="251"/>
      <c r="F210" s="251"/>
      <c r="G210" s="251"/>
      <c r="H210" s="251"/>
    </row>
    <row r="211">
      <c r="A211" s="251"/>
      <c r="B211" s="251"/>
      <c r="C211" s="251"/>
      <c r="D211" s="251"/>
      <c r="E211" s="251"/>
      <c r="F211" s="251"/>
      <c r="G211" s="251"/>
      <c r="H211" s="251"/>
    </row>
    <row r="212">
      <c r="A212" s="251"/>
      <c r="B212" s="251"/>
      <c r="C212" s="251"/>
      <c r="D212" s="251"/>
      <c r="E212" s="251"/>
      <c r="F212" s="251"/>
      <c r="G212" s="251"/>
      <c r="H212" s="251"/>
    </row>
    <row r="213">
      <c r="A213" s="251"/>
      <c r="B213" s="251"/>
      <c r="C213" s="251"/>
      <c r="D213" s="251"/>
      <c r="E213" s="251"/>
      <c r="F213" s="251"/>
      <c r="G213" s="251"/>
      <c r="H213" s="251"/>
    </row>
    <row r="214">
      <c r="A214" s="251"/>
      <c r="B214" s="251"/>
      <c r="C214" s="251"/>
      <c r="D214" s="251"/>
      <c r="E214" s="251"/>
      <c r="F214" s="251"/>
      <c r="G214" s="251"/>
      <c r="H214" s="251"/>
    </row>
    <row r="215">
      <c r="A215" s="251"/>
      <c r="B215" s="251"/>
      <c r="C215" s="251"/>
      <c r="D215" s="251"/>
      <c r="E215" s="251"/>
      <c r="F215" s="251"/>
      <c r="G215" s="251"/>
      <c r="H215" s="251"/>
    </row>
    <row r="216">
      <c r="A216" s="251"/>
      <c r="B216" s="251"/>
      <c r="C216" s="251"/>
      <c r="D216" s="251"/>
      <c r="E216" s="251"/>
      <c r="F216" s="251"/>
      <c r="G216" s="251"/>
      <c r="H216" s="251"/>
    </row>
    <row r="217">
      <c r="A217" s="251"/>
      <c r="B217" s="251"/>
      <c r="C217" s="251"/>
      <c r="D217" s="251"/>
      <c r="E217" s="251"/>
      <c r="F217" s="251"/>
      <c r="G217" s="251"/>
      <c r="H217" s="251"/>
    </row>
    <row r="218">
      <c r="A218" s="251"/>
      <c r="B218" s="251"/>
      <c r="C218" s="251"/>
      <c r="D218" s="251"/>
      <c r="E218" s="251"/>
      <c r="F218" s="251"/>
      <c r="G218" s="251"/>
      <c r="H218" s="251"/>
    </row>
    <row r="219">
      <c r="A219" s="251"/>
      <c r="B219" s="251"/>
      <c r="C219" s="251"/>
      <c r="D219" s="251"/>
      <c r="E219" s="251"/>
      <c r="F219" s="251"/>
      <c r="G219" s="251"/>
      <c r="H219" s="251"/>
    </row>
    <row r="220">
      <c r="A220" s="251"/>
      <c r="B220" s="251"/>
      <c r="C220" s="251"/>
      <c r="D220" s="251"/>
      <c r="E220" s="251"/>
      <c r="F220" s="251"/>
      <c r="G220" s="251"/>
      <c r="H220" s="251"/>
    </row>
    <row r="221">
      <c r="A221" s="251"/>
      <c r="B221" s="251"/>
      <c r="C221" s="251"/>
      <c r="D221" s="251"/>
      <c r="E221" s="251"/>
      <c r="F221" s="251"/>
      <c r="G221" s="251"/>
      <c r="H221" s="251"/>
    </row>
    <row r="222">
      <c r="A222" s="251"/>
      <c r="B222" s="251"/>
      <c r="C222" s="251"/>
      <c r="D222" s="251"/>
      <c r="E222" s="251"/>
      <c r="F222" s="251"/>
      <c r="G222" s="251"/>
      <c r="H222" s="251"/>
    </row>
    <row r="223">
      <c r="A223" s="251"/>
      <c r="B223" s="251"/>
      <c r="C223" s="251"/>
      <c r="D223" s="251"/>
      <c r="E223" s="251"/>
      <c r="F223" s="251"/>
      <c r="G223" s="251"/>
      <c r="H223" s="251"/>
    </row>
    <row r="224">
      <c r="A224" s="251"/>
      <c r="B224" s="251"/>
      <c r="C224" s="251"/>
      <c r="D224" s="251"/>
      <c r="E224" s="251"/>
      <c r="F224" s="251"/>
      <c r="G224" s="251"/>
      <c r="H224" s="251"/>
    </row>
    <row r="225">
      <c r="A225" s="251"/>
      <c r="B225" s="251"/>
      <c r="C225" s="251"/>
      <c r="D225" s="251"/>
      <c r="E225" s="251"/>
      <c r="F225" s="251"/>
      <c r="G225" s="251"/>
      <c r="H225" s="251"/>
    </row>
    <row r="226">
      <c r="A226" s="251"/>
      <c r="B226" s="251"/>
      <c r="C226" s="251"/>
      <c r="D226" s="251"/>
      <c r="E226" s="251"/>
      <c r="F226" s="251"/>
      <c r="G226" s="251"/>
      <c r="H226" s="251"/>
    </row>
    <row r="227">
      <c r="A227" s="251"/>
      <c r="B227" s="251"/>
      <c r="C227" s="251"/>
      <c r="D227" s="251"/>
      <c r="E227" s="251"/>
      <c r="F227" s="251"/>
      <c r="G227" s="251"/>
      <c r="H227" s="251"/>
    </row>
    <row r="228">
      <c r="A228" s="251"/>
      <c r="B228" s="251"/>
      <c r="C228" s="251"/>
      <c r="D228" s="251"/>
      <c r="E228" s="251"/>
      <c r="F228" s="251"/>
      <c r="G228" s="251"/>
      <c r="H228" s="251"/>
    </row>
    <row r="229">
      <c r="A229" s="251"/>
      <c r="B229" s="251"/>
      <c r="C229" s="251"/>
      <c r="D229" s="251"/>
      <c r="E229" s="251"/>
      <c r="F229" s="251"/>
      <c r="G229" s="251"/>
      <c r="H229" s="251"/>
    </row>
    <row r="230">
      <c r="A230" s="251"/>
      <c r="B230" s="251"/>
      <c r="C230" s="251"/>
      <c r="D230" s="251"/>
      <c r="E230" s="251"/>
      <c r="F230" s="251"/>
      <c r="G230" s="251"/>
      <c r="H230" s="251"/>
    </row>
    <row r="231">
      <c r="A231" s="251"/>
      <c r="B231" s="251"/>
      <c r="C231" s="251"/>
      <c r="D231" s="251"/>
      <c r="E231" s="251"/>
      <c r="F231" s="251"/>
      <c r="G231" s="251"/>
      <c r="H231" s="251"/>
    </row>
    <row r="232">
      <c r="A232" s="251"/>
      <c r="B232" s="251"/>
      <c r="C232" s="251"/>
      <c r="D232" s="251"/>
      <c r="E232" s="251"/>
      <c r="F232" s="251"/>
      <c r="G232" s="251"/>
      <c r="H232" s="251"/>
    </row>
    <row r="233">
      <c r="A233" s="251"/>
      <c r="B233" s="251"/>
      <c r="C233" s="251"/>
      <c r="D233" s="251"/>
      <c r="E233" s="251"/>
      <c r="F233" s="251"/>
      <c r="G233" s="251"/>
      <c r="H233" s="251"/>
    </row>
    <row r="234">
      <c r="A234" s="251"/>
      <c r="B234" s="251"/>
      <c r="C234" s="251"/>
      <c r="D234" s="251"/>
      <c r="E234" s="251"/>
      <c r="F234" s="251"/>
      <c r="G234" s="251"/>
      <c r="H234" s="251"/>
    </row>
    <row r="235">
      <c r="A235" s="251"/>
      <c r="B235" s="251"/>
      <c r="C235" s="251"/>
      <c r="D235" s="251"/>
      <c r="E235" s="251"/>
      <c r="F235" s="251"/>
      <c r="G235" s="251"/>
      <c r="H235" s="251"/>
    </row>
    <row r="236">
      <c r="A236" s="251"/>
      <c r="B236" s="251"/>
      <c r="C236" s="251"/>
      <c r="D236" s="251"/>
      <c r="E236" s="251"/>
      <c r="F236" s="251"/>
      <c r="G236" s="251"/>
      <c r="H236" s="251"/>
    </row>
    <row r="237">
      <c r="A237" s="251"/>
      <c r="B237" s="251"/>
      <c r="C237" s="251"/>
      <c r="D237" s="251"/>
      <c r="E237" s="251"/>
      <c r="F237" s="251"/>
      <c r="G237" s="251"/>
      <c r="H237" s="251"/>
    </row>
    <row r="238">
      <c r="A238" s="251"/>
      <c r="B238" s="251"/>
      <c r="C238" s="251"/>
      <c r="D238" s="251"/>
      <c r="E238" s="251"/>
      <c r="F238" s="251"/>
      <c r="G238" s="251"/>
      <c r="H238" s="251"/>
    </row>
    <row r="239">
      <c r="A239" s="251"/>
      <c r="B239" s="251"/>
      <c r="C239" s="251"/>
      <c r="D239" s="251"/>
      <c r="E239" s="251"/>
      <c r="F239" s="251"/>
      <c r="G239" s="251"/>
      <c r="H239" s="251"/>
    </row>
    <row r="240">
      <c r="A240" s="251"/>
      <c r="B240" s="251"/>
      <c r="C240" s="251"/>
      <c r="D240" s="251"/>
      <c r="E240" s="251"/>
      <c r="F240" s="251"/>
      <c r="G240" s="251"/>
      <c r="H240" s="251"/>
    </row>
    <row r="241">
      <c r="A241" s="251"/>
      <c r="B241" s="251"/>
      <c r="C241" s="251"/>
      <c r="D241" s="251"/>
      <c r="E241" s="251"/>
      <c r="F241" s="251"/>
      <c r="G241" s="251"/>
      <c r="H241" s="251"/>
    </row>
    <row r="242">
      <c r="A242" s="251"/>
      <c r="B242" s="251"/>
      <c r="C242" s="251"/>
      <c r="D242" s="251"/>
      <c r="E242" s="251"/>
      <c r="F242" s="251"/>
      <c r="G242" s="251"/>
      <c r="H242" s="251"/>
    </row>
    <row r="243">
      <c r="A243" s="251"/>
      <c r="B243" s="251"/>
      <c r="C243" s="251"/>
      <c r="D243" s="251"/>
      <c r="E243" s="251"/>
      <c r="F243" s="251"/>
      <c r="G243" s="251"/>
      <c r="H243" s="251"/>
    </row>
    <row r="244">
      <c r="A244" s="251"/>
      <c r="B244" s="251"/>
      <c r="C244" s="251"/>
      <c r="D244" s="251"/>
      <c r="E244" s="251"/>
      <c r="F244" s="251"/>
      <c r="G244" s="251"/>
      <c r="H244" s="251"/>
    </row>
    <row r="245">
      <c r="A245" s="251"/>
      <c r="B245" s="251"/>
      <c r="C245" s="251"/>
      <c r="D245" s="251"/>
      <c r="E245" s="251"/>
      <c r="F245" s="251"/>
      <c r="G245" s="251"/>
      <c r="H245" s="251"/>
    </row>
    <row r="246">
      <c r="A246" s="251"/>
      <c r="B246" s="251"/>
      <c r="C246" s="251"/>
      <c r="D246" s="251"/>
      <c r="E246" s="251"/>
      <c r="F246" s="251"/>
      <c r="G246" s="251"/>
      <c r="H246" s="251"/>
    </row>
    <row r="247">
      <c r="A247" s="251"/>
      <c r="B247" s="251"/>
      <c r="C247" s="251"/>
      <c r="D247" s="251"/>
      <c r="E247" s="251"/>
      <c r="F247" s="251"/>
      <c r="G247" s="251"/>
      <c r="H247" s="251"/>
    </row>
    <row r="248">
      <c r="A248" s="251"/>
      <c r="B248" s="251"/>
      <c r="C248" s="251"/>
      <c r="D248" s="251"/>
      <c r="E248" s="251"/>
      <c r="F248" s="251"/>
      <c r="G248" s="251"/>
      <c r="H248" s="251"/>
    </row>
    <row r="249">
      <c r="A249" s="251"/>
      <c r="B249" s="251"/>
      <c r="C249" s="251"/>
      <c r="D249" s="251"/>
      <c r="E249" s="251"/>
      <c r="F249" s="251"/>
      <c r="G249" s="251"/>
      <c r="H249" s="251"/>
    </row>
    <row r="250">
      <c r="A250" s="251"/>
      <c r="B250" s="251"/>
      <c r="C250" s="251"/>
      <c r="D250" s="251"/>
      <c r="E250" s="251"/>
      <c r="F250" s="251"/>
      <c r="G250" s="251"/>
      <c r="H250" s="251"/>
    </row>
    <row r="251">
      <c r="A251" s="251"/>
      <c r="B251" s="251"/>
      <c r="C251" s="251"/>
      <c r="D251" s="251"/>
      <c r="E251" s="251"/>
      <c r="F251" s="251"/>
      <c r="G251" s="251"/>
      <c r="H251" s="251"/>
    </row>
    <row r="252">
      <c r="A252" s="251"/>
      <c r="B252" s="251"/>
      <c r="C252" s="251"/>
      <c r="D252" s="251"/>
      <c r="E252" s="251"/>
      <c r="F252" s="251"/>
      <c r="G252" s="251"/>
      <c r="H252" s="251"/>
    </row>
    <row r="253">
      <c r="A253" s="251"/>
      <c r="B253" s="251"/>
      <c r="C253" s="251"/>
      <c r="D253" s="251"/>
      <c r="E253" s="251"/>
      <c r="F253" s="251"/>
      <c r="G253" s="251"/>
      <c r="H253" s="251"/>
    </row>
    <row r="254">
      <c r="A254" s="251"/>
      <c r="B254" s="251"/>
      <c r="C254" s="251"/>
      <c r="D254" s="251"/>
      <c r="E254" s="251"/>
      <c r="F254" s="251"/>
      <c r="G254" s="251"/>
      <c r="H254" s="251"/>
    </row>
    <row r="255">
      <c r="A255" s="251"/>
      <c r="B255" s="251"/>
      <c r="C255" s="251"/>
      <c r="D255" s="251"/>
      <c r="E255" s="251"/>
      <c r="F255" s="251"/>
      <c r="G255" s="251"/>
      <c r="H255" s="251"/>
    </row>
    <row r="256">
      <c r="A256" s="251"/>
      <c r="B256" s="251"/>
      <c r="C256" s="251"/>
      <c r="D256" s="251"/>
      <c r="E256" s="251"/>
      <c r="F256" s="251"/>
      <c r="G256" s="251"/>
      <c r="H256" s="251"/>
    </row>
    <row r="257">
      <c r="A257" s="251"/>
      <c r="B257" s="251"/>
      <c r="C257" s="251"/>
      <c r="D257" s="251"/>
      <c r="E257" s="251"/>
      <c r="F257" s="251"/>
      <c r="G257" s="251"/>
      <c r="H257" s="251"/>
    </row>
    <row r="258">
      <c r="A258" s="251"/>
      <c r="B258" s="251"/>
      <c r="C258" s="251"/>
      <c r="D258" s="251"/>
      <c r="E258" s="251"/>
      <c r="F258" s="251"/>
      <c r="G258" s="251"/>
      <c r="H258" s="251"/>
    </row>
    <row r="259">
      <c r="A259" s="251"/>
      <c r="B259" s="251"/>
      <c r="C259" s="251"/>
      <c r="D259" s="251"/>
      <c r="E259" s="251"/>
      <c r="F259" s="251"/>
      <c r="G259" s="251"/>
      <c r="H259" s="251"/>
    </row>
    <row r="260">
      <c r="A260" s="251"/>
      <c r="B260" s="251"/>
      <c r="C260" s="251"/>
      <c r="D260" s="251"/>
      <c r="E260" s="251"/>
      <c r="F260" s="251"/>
      <c r="G260" s="251"/>
      <c r="H260" s="251"/>
    </row>
    <row r="261">
      <c r="A261" s="251"/>
      <c r="B261" s="251"/>
      <c r="C261" s="251"/>
      <c r="D261" s="251"/>
      <c r="E261" s="251"/>
      <c r="F261" s="251"/>
      <c r="G261" s="251"/>
      <c r="H261" s="251"/>
    </row>
    <row r="262">
      <c r="A262" s="251"/>
      <c r="B262" s="251"/>
      <c r="C262" s="251"/>
      <c r="D262" s="251"/>
      <c r="E262" s="251"/>
      <c r="F262" s="251"/>
      <c r="G262" s="251"/>
      <c r="H262" s="251"/>
    </row>
    <row r="263">
      <c r="A263" s="251"/>
      <c r="B263" s="251"/>
      <c r="C263" s="251"/>
      <c r="D263" s="251"/>
      <c r="E263" s="251"/>
      <c r="F263" s="251"/>
      <c r="G263" s="251"/>
      <c r="H263" s="251"/>
    </row>
    <row r="264">
      <c r="A264" s="251"/>
      <c r="B264" s="251"/>
      <c r="C264" s="251"/>
      <c r="D264" s="251"/>
      <c r="E264" s="251"/>
      <c r="F264" s="251"/>
      <c r="G264" s="251"/>
      <c r="H264" s="251"/>
    </row>
    <row r="265">
      <c r="A265" s="251"/>
      <c r="B265" s="251"/>
      <c r="C265" s="251"/>
      <c r="D265" s="251"/>
      <c r="E265" s="251"/>
      <c r="F265" s="251"/>
      <c r="G265" s="251"/>
      <c r="H265" s="251"/>
    </row>
    <row r="266">
      <c r="A266" s="251"/>
      <c r="B266" s="251"/>
      <c r="C266" s="251"/>
      <c r="D266" s="251"/>
      <c r="E266" s="251"/>
      <c r="F266" s="251"/>
      <c r="G266" s="251"/>
      <c r="H266" s="251"/>
    </row>
    <row r="267">
      <c r="A267" s="251"/>
      <c r="B267" s="251"/>
      <c r="C267" s="251"/>
      <c r="D267" s="251"/>
      <c r="E267" s="251"/>
      <c r="F267" s="251"/>
      <c r="G267" s="251"/>
      <c r="H267" s="251"/>
    </row>
    <row r="268">
      <c r="A268" s="251"/>
      <c r="B268" s="251"/>
      <c r="C268" s="251"/>
      <c r="D268" s="251"/>
      <c r="E268" s="251"/>
      <c r="F268" s="251"/>
      <c r="G268" s="251"/>
      <c r="H268" s="251"/>
    </row>
    <row r="269">
      <c r="A269" s="251"/>
      <c r="B269" s="251"/>
      <c r="C269" s="251"/>
      <c r="D269" s="251"/>
      <c r="E269" s="251"/>
      <c r="F269" s="251"/>
      <c r="G269" s="251"/>
      <c r="H269" s="251"/>
    </row>
    <row r="270">
      <c r="A270" s="251"/>
      <c r="B270" s="251"/>
      <c r="C270" s="251"/>
      <c r="D270" s="251"/>
      <c r="E270" s="251"/>
      <c r="F270" s="251"/>
      <c r="G270" s="251"/>
      <c r="H270" s="251"/>
    </row>
    <row r="271">
      <c r="A271" s="251"/>
      <c r="B271" s="251"/>
      <c r="C271" s="251"/>
      <c r="D271" s="251"/>
      <c r="E271" s="251"/>
      <c r="F271" s="251"/>
      <c r="G271" s="251"/>
      <c r="H271" s="251"/>
    </row>
    <row r="272">
      <c r="A272" s="251"/>
      <c r="B272" s="251"/>
      <c r="C272" s="251"/>
      <c r="D272" s="251"/>
      <c r="E272" s="251"/>
      <c r="F272" s="251"/>
      <c r="G272" s="251"/>
      <c r="H272" s="251"/>
    </row>
    <row r="273">
      <c r="A273" s="251"/>
      <c r="B273" s="251"/>
      <c r="C273" s="251"/>
      <c r="D273" s="251"/>
      <c r="E273" s="251"/>
      <c r="F273" s="251"/>
      <c r="G273" s="251"/>
      <c r="H273" s="251"/>
    </row>
    <row r="274">
      <c r="A274" s="251"/>
      <c r="B274" s="251"/>
      <c r="C274" s="251"/>
      <c r="D274" s="251"/>
      <c r="E274" s="251"/>
      <c r="F274" s="251"/>
      <c r="G274" s="251"/>
      <c r="H274" s="251"/>
    </row>
    <row r="275">
      <c r="A275" s="251"/>
      <c r="B275" s="251"/>
      <c r="C275" s="251"/>
      <c r="D275" s="251"/>
      <c r="E275" s="251"/>
      <c r="F275" s="251"/>
      <c r="G275" s="251"/>
      <c r="H275" s="251"/>
    </row>
    <row r="276">
      <c r="A276" s="251"/>
      <c r="B276" s="251"/>
      <c r="C276" s="251"/>
      <c r="D276" s="251"/>
      <c r="E276" s="251"/>
      <c r="F276" s="251"/>
      <c r="G276" s="251"/>
      <c r="H276" s="251"/>
    </row>
    <row r="277">
      <c r="A277" s="251"/>
      <c r="B277" s="251"/>
      <c r="C277" s="251"/>
      <c r="D277" s="251"/>
      <c r="E277" s="251"/>
      <c r="F277" s="251"/>
      <c r="G277" s="251"/>
      <c r="H277" s="251"/>
    </row>
    <row r="278">
      <c r="A278" s="251"/>
      <c r="B278" s="251"/>
      <c r="C278" s="251"/>
      <c r="D278" s="251"/>
      <c r="E278" s="251"/>
      <c r="F278" s="251"/>
      <c r="G278" s="251"/>
      <c r="H278" s="251"/>
    </row>
    <row r="279">
      <c r="A279" s="251"/>
      <c r="B279" s="251"/>
      <c r="C279" s="251"/>
      <c r="D279" s="251"/>
      <c r="E279" s="251"/>
      <c r="F279" s="251"/>
      <c r="G279" s="251"/>
      <c r="H279" s="251"/>
    </row>
    <row r="280">
      <c r="A280" s="251"/>
      <c r="B280" s="251"/>
      <c r="C280" s="251"/>
      <c r="D280" s="251"/>
      <c r="E280" s="251"/>
      <c r="F280" s="251"/>
      <c r="G280" s="251"/>
      <c r="H280" s="251"/>
    </row>
    <row r="281">
      <c r="A281" s="251"/>
      <c r="B281" s="251"/>
      <c r="C281" s="251"/>
      <c r="D281" s="251"/>
      <c r="E281" s="251"/>
      <c r="F281" s="251"/>
      <c r="G281" s="251"/>
      <c r="H281" s="251"/>
    </row>
    <row r="282">
      <c r="A282" s="251"/>
      <c r="B282" s="251"/>
      <c r="C282" s="251"/>
      <c r="D282" s="251"/>
      <c r="E282" s="251"/>
      <c r="F282" s="251"/>
      <c r="G282" s="251"/>
      <c r="H282" s="251"/>
    </row>
    <row r="283">
      <c r="A283" s="251"/>
      <c r="B283" s="251"/>
      <c r="C283" s="251"/>
      <c r="D283" s="251"/>
      <c r="E283" s="251"/>
      <c r="F283" s="251"/>
      <c r="G283" s="251"/>
      <c r="H283" s="251"/>
    </row>
    <row r="284">
      <c r="A284" s="251"/>
      <c r="B284" s="251"/>
      <c r="C284" s="251"/>
      <c r="D284" s="251"/>
      <c r="E284" s="251"/>
      <c r="F284" s="251"/>
      <c r="G284" s="251"/>
      <c r="H284" s="251"/>
    </row>
    <row r="285">
      <c r="A285" s="251"/>
      <c r="B285" s="251"/>
      <c r="C285" s="251"/>
      <c r="D285" s="251"/>
      <c r="E285" s="251"/>
      <c r="F285" s="251"/>
      <c r="G285" s="251"/>
      <c r="H285" s="251"/>
    </row>
    <row r="286">
      <c r="A286" s="251"/>
      <c r="B286" s="251"/>
      <c r="C286" s="251"/>
      <c r="D286" s="251"/>
      <c r="E286" s="251"/>
      <c r="F286" s="251"/>
      <c r="G286" s="251"/>
      <c r="H286" s="251"/>
    </row>
    <row r="287">
      <c r="A287" s="251"/>
      <c r="B287" s="251"/>
      <c r="C287" s="251"/>
      <c r="D287" s="251"/>
      <c r="E287" s="251"/>
      <c r="F287" s="251"/>
      <c r="G287" s="251"/>
      <c r="H287" s="251"/>
    </row>
    <row r="288">
      <c r="A288" s="251"/>
      <c r="B288" s="251"/>
      <c r="C288" s="251"/>
      <c r="D288" s="251"/>
      <c r="E288" s="251"/>
      <c r="F288" s="251"/>
      <c r="G288" s="251"/>
      <c r="H288" s="251"/>
    </row>
    <row r="289">
      <c r="A289" s="251"/>
      <c r="B289" s="251"/>
      <c r="C289" s="251"/>
      <c r="D289" s="251"/>
      <c r="E289" s="251"/>
      <c r="F289" s="251"/>
      <c r="G289" s="251"/>
      <c r="H289" s="251"/>
    </row>
    <row r="290">
      <c r="A290" s="251"/>
      <c r="B290" s="251"/>
      <c r="C290" s="251"/>
      <c r="D290" s="251"/>
      <c r="E290" s="251"/>
      <c r="F290" s="251"/>
      <c r="G290" s="251"/>
      <c r="H290" s="251"/>
    </row>
    <row r="291">
      <c r="A291" s="251"/>
      <c r="B291" s="251"/>
      <c r="C291" s="251"/>
      <c r="D291" s="251"/>
      <c r="E291" s="251"/>
      <c r="F291" s="251"/>
      <c r="G291" s="251"/>
      <c r="H291" s="251"/>
    </row>
    <row r="292">
      <c r="A292" s="251"/>
      <c r="B292" s="251"/>
      <c r="C292" s="251"/>
      <c r="D292" s="251"/>
      <c r="E292" s="251"/>
      <c r="F292" s="251"/>
      <c r="G292" s="251"/>
      <c r="H292" s="251"/>
    </row>
    <row r="293">
      <c r="A293" s="251"/>
      <c r="B293" s="251"/>
      <c r="C293" s="251"/>
      <c r="D293" s="251"/>
      <c r="E293" s="251"/>
      <c r="F293" s="251"/>
      <c r="G293" s="251"/>
      <c r="H293" s="251"/>
    </row>
    <row r="294">
      <c r="A294" s="251"/>
      <c r="B294" s="251"/>
      <c r="C294" s="251"/>
      <c r="D294" s="251"/>
      <c r="E294" s="251"/>
      <c r="F294" s="251"/>
      <c r="G294" s="251"/>
      <c r="H294" s="251"/>
    </row>
    <row r="295">
      <c r="A295" s="251"/>
      <c r="B295" s="251"/>
      <c r="C295" s="251"/>
      <c r="D295" s="251"/>
      <c r="E295" s="251"/>
      <c r="F295" s="251"/>
      <c r="G295" s="251"/>
      <c r="H295" s="251"/>
    </row>
    <row r="296">
      <c r="A296" s="251"/>
      <c r="B296" s="251"/>
      <c r="C296" s="251"/>
      <c r="D296" s="251"/>
      <c r="E296" s="251"/>
      <c r="F296" s="251"/>
      <c r="G296" s="251"/>
      <c r="H296" s="251"/>
    </row>
    <row r="297">
      <c r="A297" s="251"/>
      <c r="B297" s="251"/>
      <c r="C297" s="251"/>
      <c r="D297" s="251"/>
      <c r="E297" s="251"/>
      <c r="F297" s="251"/>
      <c r="G297" s="251"/>
      <c r="H297" s="251"/>
    </row>
    <row r="298">
      <c r="A298" s="251"/>
      <c r="B298" s="251"/>
      <c r="C298" s="251"/>
      <c r="D298" s="251"/>
      <c r="E298" s="251"/>
      <c r="F298" s="251"/>
      <c r="G298" s="251"/>
      <c r="H298" s="251"/>
    </row>
    <row r="299">
      <c r="A299" s="251"/>
      <c r="B299" s="251"/>
      <c r="C299" s="251"/>
      <c r="D299" s="251"/>
      <c r="E299" s="251"/>
      <c r="F299" s="251"/>
      <c r="G299" s="251"/>
      <c r="H299" s="251"/>
    </row>
    <row r="300">
      <c r="A300" s="251"/>
      <c r="B300" s="251"/>
      <c r="C300" s="251"/>
      <c r="D300" s="251"/>
      <c r="E300" s="251"/>
      <c r="F300" s="251"/>
      <c r="G300" s="251"/>
      <c r="H300" s="251"/>
    </row>
    <row r="301">
      <c r="A301" s="251"/>
      <c r="B301" s="251"/>
      <c r="C301" s="251"/>
      <c r="D301" s="251"/>
      <c r="E301" s="251"/>
      <c r="F301" s="251"/>
      <c r="G301" s="251"/>
      <c r="H301" s="251"/>
    </row>
    <row r="302">
      <c r="A302" s="251"/>
      <c r="B302" s="251"/>
      <c r="C302" s="251"/>
      <c r="D302" s="251"/>
      <c r="E302" s="251"/>
      <c r="F302" s="251"/>
      <c r="G302" s="251"/>
      <c r="H302" s="251"/>
    </row>
    <row r="303">
      <c r="A303" s="251"/>
      <c r="B303" s="251"/>
      <c r="C303" s="251"/>
      <c r="D303" s="251"/>
      <c r="E303" s="251"/>
      <c r="F303" s="251"/>
      <c r="G303" s="251"/>
      <c r="H303" s="251"/>
    </row>
    <row r="304">
      <c r="A304" s="251"/>
      <c r="B304" s="251"/>
      <c r="C304" s="251"/>
      <c r="D304" s="251"/>
      <c r="E304" s="251"/>
      <c r="F304" s="251"/>
      <c r="G304" s="251"/>
      <c r="H304" s="251"/>
    </row>
    <row r="305">
      <c r="A305" s="251"/>
      <c r="B305" s="251"/>
      <c r="C305" s="251"/>
      <c r="D305" s="251"/>
      <c r="E305" s="251"/>
      <c r="F305" s="251"/>
      <c r="G305" s="251"/>
      <c r="H305" s="251"/>
    </row>
    <row r="306">
      <c r="A306" s="251"/>
      <c r="B306" s="251"/>
      <c r="C306" s="251"/>
      <c r="D306" s="251"/>
      <c r="E306" s="251"/>
      <c r="F306" s="251"/>
      <c r="G306" s="251"/>
      <c r="H306" s="251"/>
    </row>
    <row r="307">
      <c r="A307" s="251"/>
      <c r="B307" s="251"/>
      <c r="C307" s="251"/>
      <c r="D307" s="251"/>
      <c r="E307" s="251"/>
      <c r="F307" s="251"/>
      <c r="G307" s="251"/>
      <c r="H307" s="251"/>
    </row>
    <row r="308">
      <c r="A308" s="251"/>
      <c r="B308" s="251"/>
      <c r="C308" s="251"/>
      <c r="D308" s="251"/>
      <c r="E308" s="251"/>
      <c r="F308" s="251"/>
      <c r="G308" s="251"/>
      <c r="H308" s="251"/>
    </row>
    <row r="309">
      <c r="A309" s="251"/>
      <c r="B309" s="251"/>
      <c r="C309" s="251"/>
      <c r="D309" s="251"/>
      <c r="E309" s="251"/>
      <c r="F309" s="251"/>
      <c r="G309" s="251"/>
      <c r="H309" s="251"/>
    </row>
    <row r="310">
      <c r="A310" s="251"/>
      <c r="B310" s="251"/>
      <c r="C310" s="251"/>
      <c r="D310" s="251"/>
      <c r="E310" s="251"/>
      <c r="F310" s="251"/>
      <c r="G310" s="251"/>
      <c r="H310" s="251"/>
    </row>
    <row r="311">
      <c r="A311" s="251"/>
      <c r="B311" s="251"/>
      <c r="C311" s="251"/>
      <c r="D311" s="251"/>
      <c r="E311" s="251"/>
      <c r="F311" s="251"/>
      <c r="G311" s="251"/>
      <c r="H311" s="251"/>
    </row>
    <row r="312">
      <c r="A312" s="251"/>
      <c r="B312" s="251"/>
      <c r="C312" s="251"/>
      <c r="D312" s="251"/>
      <c r="E312" s="251"/>
      <c r="F312" s="251"/>
      <c r="G312" s="251"/>
      <c r="H312" s="251"/>
    </row>
    <row r="313">
      <c r="A313" s="251"/>
      <c r="B313" s="251"/>
      <c r="C313" s="251"/>
      <c r="D313" s="251"/>
      <c r="E313" s="251"/>
      <c r="F313" s="251"/>
      <c r="G313" s="251"/>
      <c r="H313" s="251"/>
    </row>
    <row r="314">
      <c r="A314" s="251"/>
      <c r="B314" s="251"/>
      <c r="C314" s="251"/>
      <c r="D314" s="251"/>
      <c r="E314" s="251"/>
      <c r="F314" s="251"/>
      <c r="G314" s="251"/>
      <c r="H314" s="251"/>
    </row>
    <row r="315">
      <c r="A315" s="251"/>
      <c r="B315" s="251"/>
      <c r="C315" s="251"/>
      <c r="D315" s="251"/>
      <c r="E315" s="251"/>
      <c r="F315" s="251"/>
      <c r="G315" s="251"/>
      <c r="H315" s="251"/>
    </row>
    <row r="316">
      <c r="A316" s="251"/>
      <c r="B316" s="251"/>
      <c r="C316" s="251"/>
      <c r="D316" s="251"/>
      <c r="E316" s="251"/>
      <c r="F316" s="251"/>
      <c r="G316" s="251"/>
      <c r="H316" s="251"/>
    </row>
    <row r="317">
      <c r="A317" s="251"/>
      <c r="B317" s="251"/>
      <c r="C317" s="251"/>
      <c r="D317" s="251"/>
      <c r="E317" s="251"/>
      <c r="F317" s="251"/>
      <c r="G317" s="251"/>
      <c r="H317" s="251"/>
    </row>
    <row r="318">
      <c r="A318" s="251"/>
      <c r="B318" s="251"/>
      <c r="C318" s="251"/>
      <c r="D318" s="251"/>
      <c r="E318" s="251"/>
      <c r="F318" s="251"/>
      <c r="G318" s="251"/>
      <c r="H318" s="251"/>
    </row>
    <row r="319">
      <c r="A319" s="251"/>
      <c r="B319" s="251"/>
      <c r="C319" s="251"/>
      <c r="D319" s="251"/>
      <c r="E319" s="251"/>
      <c r="F319" s="251"/>
      <c r="G319" s="251"/>
      <c r="H319" s="251"/>
    </row>
    <row r="320">
      <c r="A320" s="251"/>
      <c r="B320" s="251"/>
      <c r="C320" s="251"/>
      <c r="D320" s="251"/>
      <c r="E320" s="251"/>
      <c r="F320" s="251"/>
      <c r="G320" s="251"/>
      <c r="H320" s="251"/>
    </row>
    <row r="321">
      <c r="A321" s="251"/>
      <c r="B321" s="251"/>
      <c r="C321" s="251"/>
      <c r="D321" s="251"/>
      <c r="E321" s="251"/>
      <c r="F321" s="251"/>
      <c r="G321" s="251"/>
      <c r="H321" s="251"/>
    </row>
    <row r="322">
      <c r="A322" s="251"/>
      <c r="B322" s="251"/>
      <c r="C322" s="251"/>
      <c r="D322" s="251"/>
      <c r="E322" s="251"/>
      <c r="F322" s="251"/>
      <c r="G322" s="251"/>
      <c r="H322" s="251"/>
    </row>
    <row r="323">
      <c r="A323" s="251"/>
      <c r="B323" s="251"/>
      <c r="C323" s="251"/>
      <c r="D323" s="251"/>
      <c r="E323" s="251"/>
      <c r="F323" s="251"/>
      <c r="G323" s="251"/>
      <c r="H323" s="251"/>
    </row>
    <row r="324">
      <c r="A324" s="251"/>
      <c r="B324" s="251"/>
      <c r="C324" s="251"/>
      <c r="D324" s="251"/>
      <c r="E324" s="251"/>
      <c r="F324" s="251"/>
      <c r="G324" s="251"/>
      <c r="H324" s="251"/>
    </row>
    <row r="325">
      <c r="A325" s="251"/>
      <c r="B325" s="251"/>
      <c r="C325" s="251"/>
      <c r="D325" s="251"/>
      <c r="E325" s="251"/>
      <c r="F325" s="251"/>
      <c r="G325" s="251"/>
      <c r="H325" s="251"/>
    </row>
    <row r="326">
      <c r="A326" s="251"/>
      <c r="B326" s="251"/>
      <c r="C326" s="251"/>
      <c r="D326" s="251"/>
      <c r="E326" s="251"/>
      <c r="F326" s="251"/>
      <c r="G326" s="251"/>
      <c r="H326" s="251"/>
    </row>
    <row r="327">
      <c r="A327" s="251"/>
      <c r="B327" s="251"/>
      <c r="C327" s="251"/>
      <c r="D327" s="251"/>
      <c r="E327" s="251"/>
      <c r="F327" s="251"/>
      <c r="G327" s="251"/>
      <c r="H327" s="251"/>
    </row>
    <row r="328">
      <c r="A328" s="251"/>
      <c r="B328" s="251"/>
      <c r="C328" s="251"/>
      <c r="D328" s="251"/>
      <c r="E328" s="251"/>
      <c r="F328" s="251"/>
      <c r="G328" s="251"/>
      <c r="H328" s="251"/>
    </row>
    <row r="329">
      <c r="A329" s="251"/>
      <c r="B329" s="251"/>
      <c r="C329" s="251"/>
      <c r="D329" s="251"/>
      <c r="E329" s="251"/>
      <c r="F329" s="251"/>
      <c r="G329" s="251"/>
      <c r="H329" s="251"/>
    </row>
    <row r="330">
      <c r="A330" s="251"/>
      <c r="B330" s="251"/>
      <c r="C330" s="251"/>
      <c r="D330" s="251"/>
      <c r="E330" s="251"/>
      <c r="F330" s="251"/>
      <c r="G330" s="251"/>
      <c r="H330" s="251"/>
    </row>
    <row r="331">
      <c r="A331" s="251"/>
      <c r="B331" s="251"/>
      <c r="C331" s="251"/>
      <c r="D331" s="251"/>
      <c r="E331" s="251"/>
      <c r="F331" s="251"/>
      <c r="G331" s="251"/>
      <c r="H331" s="251"/>
    </row>
    <row r="332">
      <c r="A332" s="251"/>
      <c r="B332" s="251"/>
      <c r="C332" s="251"/>
      <c r="D332" s="251"/>
      <c r="E332" s="251"/>
      <c r="F332" s="251"/>
      <c r="G332" s="251"/>
      <c r="H332" s="251"/>
    </row>
    <row r="333">
      <c r="A333" s="251"/>
      <c r="B333" s="251"/>
      <c r="C333" s="251"/>
      <c r="D333" s="251"/>
      <c r="E333" s="251"/>
      <c r="F333" s="251"/>
      <c r="G333" s="251"/>
      <c r="H333" s="251"/>
    </row>
    <row r="334">
      <c r="A334" s="251"/>
      <c r="B334" s="251"/>
      <c r="C334" s="251"/>
      <c r="D334" s="251"/>
      <c r="E334" s="251"/>
      <c r="F334" s="251"/>
      <c r="G334" s="251"/>
      <c r="H334" s="251"/>
    </row>
    <row r="335">
      <c r="A335" s="251"/>
      <c r="B335" s="251"/>
      <c r="C335" s="251"/>
      <c r="D335" s="251"/>
      <c r="E335" s="251"/>
      <c r="F335" s="251"/>
      <c r="G335" s="251"/>
      <c r="H335" s="251"/>
    </row>
    <row r="336">
      <c r="A336" s="251"/>
      <c r="B336" s="251"/>
      <c r="C336" s="251"/>
      <c r="D336" s="251"/>
      <c r="E336" s="251"/>
      <c r="F336" s="251"/>
      <c r="G336" s="251"/>
      <c r="H336" s="251"/>
    </row>
    <row r="337">
      <c r="A337" s="251"/>
      <c r="B337" s="251"/>
      <c r="C337" s="251"/>
      <c r="D337" s="251"/>
      <c r="E337" s="251"/>
      <c r="F337" s="251"/>
      <c r="G337" s="251"/>
      <c r="H337" s="251"/>
    </row>
    <row r="338">
      <c r="A338" s="251"/>
      <c r="B338" s="251"/>
      <c r="C338" s="251"/>
      <c r="D338" s="251"/>
      <c r="E338" s="251"/>
      <c r="F338" s="251"/>
      <c r="G338" s="251"/>
      <c r="H338" s="251"/>
    </row>
    <row r="339">
      <c r="A339" s="251"/>
      <c r="B339" s="251"/>
      <c r="C339" s="251"/>
      <c r="D339" s="251"/>
      <c r="E339" s="251"/>
      <c r="F339" s="251"/>
      <c r="G339" s="251"/>
      <c r="H339" s="251"/>
    </row>
    <row r="340">
      <c r="A340" s="251"/>
      <c r="B340" s="251"/>
      <c r="C340" s="251"/>
      <c r="D340" s="251"/>
      <c r="E340" s="251"/>
      <c r="F340" s="251"/>
      <c r="G340" s="251"/>
      <c r="H340" s="251"/>
    </row>
    <row r="341">
      <c r="A341" s="251"/>
      <c r="B341" s="251"/>
      <c r="C341" s="251"/>
      <c r="D341" s="251"/>
      <c r="E341" s="251"/>
      <c r="F341" s="251"/>
      <c r="G341" s="251"/>
      <c r="H341" s="251"/>
    </row>
    <row r="342">
      <c r="A342" s="251"/>
      <c r="B342" s="251"/>
      <c r="C342" s="251"/>
      <c r="D342" s="251"/>
      <c r="E342" s="251"/>
      <c r="F342" s="251"/>
      <c r="G342" s="251"/>
      <c r="H342" s="251"/>
    </row>
    <row r="343">
      <c r="A343" s="251"/>
      <c r="B343" s="251"/>
      <c r="C343" s="251"/>
      <c r="D343" s="251"/>
      <c r="E343" s="251"/>
      <c r="F343" s="251"/>
      <c r="G343" s="251"/>
      <c r="H343" s="251"/>
    </row>
    <row r="344">
      <c r="A344" s="251"/>
      <c r="B344" s="251"/>
      <c r="C344" s="251"/>
      <c r="D344" s="251"/>
      <c r="E344" s="251"/>
      <c r="F344" s="251"/>
      <c r="G344" s="251"/>
      <c r="H344" s="251"/>
    </row>
    <row r="345">
      <c r="A345" s="251"/>
      <c r="B345" s="251"/>
      <c r="C345" s="251"/>
      <c r="D345" s="251"/>
      <c r="E345" s="251"/>
      <c r="F345" s="251"/>
      <c r="G345" s="251"/>
      <c r="H345" s="251"/>
    </row>
    <row r="346">
      <c r="A346" s="251"/>
      <c r="B346" s="251"/>
      <c r="C346" s="251"/>
      <c r="D346" s="251"/>
      <c r="E346" s="251"/>
      <c r="F346" s="251"/>
      <c r="G346" s="251"/>
      <c r="H346" s="251"/>
    </row>
    <row r="347">
      <c r="A347" s="251"/>
      <c r="B347" s="251"/>
      <c r="C347" s="251"/>
      <c r="D347" s="251"/>
      <c r="E347" s="251"/>
      <c r="F347" s="251"/>
      <c r="G347" s="251"/>
      <c r="H347" s="251"/>
    </row>
    <row r="348">
      <c r="A348" s="251"/>
      <c r="B348" s="251"/>
      <c r="C348" s="251"/>
      <c r="D348" s="251"/>
      <c r="E348" s="251"/>
      <c r="F348" s="251"/>
      <c r="G348" s="251"/>
      <c r="H348" s="251"/>
    </row>
    <row r="349">
      <c r="A349" s="251"/>
      <c r="B349" s="251"/>
      <c r="C349" s="251"/>
      <c r="D349" s="251"/>
      <c r="E349" s="251"/>
      <c r="F349" s="251"/>
      <c r="G349" s="251"/>
      <c r="H349" s="251"/>
    </row>
    <row r="350">
      <c r="A350" s="251"/>
      <c r="B350" s="251"/>
      <c r="C350" s="251"/>
      <c r="D350" s="251"/>
      <c r="E350" s="251"/>
      <c r="F350" s="251"/>
      <c r="G350" s="251"/>
      <c r="H350" s="251"/>
    </row>
    <row r="351">
      <c r="A351" s="251"/>
      <c r="B351" s="251"/>
      <c r="C351" s="251"/>
      <c r="D351" s="251"/>
      <c r="E351" s="251"/>
      <c r="F351" s="251"/>
      <c r="G351" s="251"/>
      <c r="H351" s="251"/>
    </row>
    <row r="352">
      <c r="A352" s="251"/>
      <c r="B352" s="251"/>
      <c r="C352" s="251"/>
      <c r="D352" s="251"/>
      <c r="E352" s="251"/>
      <c r="F352" s="251"/>
      <c r="G352" s="251"/>
      <c r="H352" s="251"/>
    </row>
    <row r="353">
      <c r="A353" s="251"/>
      <c r="B353" s="251"/>
      <c r="C353" s="251"/>
      <c r="D353" s="251"/>
      <c r="E353" s="251"/>
      <c r="F353" s="251"/>
      <c r="G353" s="251"/>
      <c r="H353" s="251"/>
    </row>
    <row r="354">
      <c r="A354" s="251"/>
      <c r="B354" s="251"/>
      <c r="C354" s="251"/>
      <c r="D354" s="251"/>
      <c r="E354" s="251"/>
      <c r="F354" s="251"/>
      <c r="G354" s="251"/>
      <c r="H354" s="251"/>
    </row>
    <row r="355">
      <c r="A355" s="251"/>
      <c r="B355" s="251"/>
      <c r="C355" s="251"/>
      <c r="D355" s="251"/>
      <c r="E355" s="251"/>
      <c r="F355" s="251"/>
      <c r="G355" s="251"/>
      <c r="H355" s="251"/>
    </row>
    <row r="356">
      <c r="A356" s="251"/>
      <c r="B356" s="251"/>
      <c r="C356" s="251"/>
      <c r="D356" s="251"/>
      <c r="E356" s="251"/>
      <c r="F356" s="251"/>
      <c r="G356" s="251"/>
      <c r="H356" s="251"/>
    </row>
    <row r="357">
      <c r="A357" s="251"/>
      <c r="B357" s="251"/>
      <c r="C357" s="251"/>
      <c r="D357" s="251"/>
      <c r="E357" s="251"/>
      <c r="F357" s="251"/>
      <c r="G357" s="251"/>
      <c r="H357" s="251"/>
    </row>
    <row r="358">
      <c r="A358" s="251"/>
      <c r="B358" s="251"/>
      <c r="C358" s="251"/>
      <c r="D358" s="251"/>
      <c r="E358" s="251"/>
      <c r="F358" s="251"/>
      <c r="G358" s="251"/>
      <c r="H358" s="251"/>
    </row>
    <row r="359">
      <c r="A359" s="251"/>
      <c r="B359" s="251"/>
      <c r="C359" s="251"/>
      <c r="D359" s="251"/>
      <c r="E359" s="251"/>
      <c r="F359" s="251"/>
      <c r="G359" s="251"/>
      <c r="H359" s="251"/>
    </row>
    <row r="360">
      <c r="A360" s="251"/>
      <c r="B360" s="251"/>
      <c r="C360" s="251"/>
      <c r="D360" s="251"/>
      <c r="E360" s="251"/>
      <c r="F360" s="251"/>
      <c r="G360" s="251"/>
      <c r="H360" s="251"/>
    </row>
    <row r="361">
      <c r="A361" s="251"/>
      <c r="B361" s="251"/>
      <c r="C361" s="251"/>
      <c r="D361" s="251"/>
      <c r="E361" s="251"/>
      <c r="F361" s="251"/>
      <c r="G361" s="251"/>
      <c r="H361" s="251"/>
    </row>
    <row r="362">
      <c r="A362" s="251"/>
      <c r="B362" s="251"/>
      <c r="C362" s="251"/>
      <c r="D362" s="251"/>
      <c r="E362" s="251"/>
      <c r="F362" s="251"/>
      <c r="G362" s="251"/>
      <c r="H362" s="251"/>
    </row>
    <row r="363">
      <c r="A363" s="251"/>
      <c r="B363" s="251"/>
      <c r="C363" s="251"/>
      <c r="D363" s="251"/>
      <c r="E363" s="251"/>
      <c r="F363" s="251"/>
      <c r="G363" s="251"/>
      <c r="H363" s="251"/>
    </row>
    <row r="364">
      <c r="A364" s="251"/>
      <c r="B364" s="251"/>
      <c r="C364" s="251"/>
      <c r="D364" s="251"/>
      <c r="E364" s="251"/>
      <c r="F364" s="251"/>
      <c r="G364" s="251"/>
      <c r="H364" s="251"/>
    </row>
    <row r="365">
      <c r="A365" s="251"/>
      <c r="B365" s="251"/>
      <c r="C365" s="251"/>
      <c r="D365" s="251"/>
      <c r="E365" s="251"/>
      <c r="F365" s="251"/>
      <c r="G365" s="251"/>
      <c r="H365" s="251"/>
    </row>
    <row r="366">
      <c r="A366" s="251"/>
      <c r="B366" s="251"/>
      <c r="C366" s="251"/>
      <c r="D366" s="251"/>
      <c r="E366" s="251"/>
      <c r="F366" s="251"/>
      <c r="G366" s="251"/>
      <c r="H366" s="251"/>
    </row>
    <row r="367">
      <c r="A367" s="251"/>
      <c r="B367" s="251"/>
      <c r="C367" s="251"/>
      <c r="D367" s="251"/>
      <c r="E367" s="251"/>
      <c r="F367" s="251"/>
      <c r="G367" s="251"/>
      <c r="H367" s="251"/>
    </row>
    <row r="368">
      <c r="A368" s="251"/>
      <c r="B368" s="251"/>
      <c r="C368" s="251"/>
      <c r="D368" s="251"/>
      <c r="E368" s="251"/>
      <c r="F368" s="251"/>
      <c r="G368" s="251"/>
      <c r="H368" s="251"/>
    </row>
    <row r="369">
      <c r="A369" s="251"/>
      <c r="B369" s="251"/>
      <c r="C369" s="251"/>
      <c r="D369" s="251"/>
      <c r="E369" s="251"/>
      <c r="F369" s="251"/>
      <c r="G369" s="251"/>
      <c r="H369" s="251"/>
    </row>
    <row r="370">
      <c r="A370" s="251"/>
      <c r="B370" s="251"/>
      <c r="C370" s="251"/>
      <c r="D370" s="251"/>
      <c r="E370" s="251"/>
      <c r="F370" s="251"/>
      <c r="G370" s="251"/>
      <c r="H370" s="251"/>
    </row>
    <row r="371">
      <c r="A371" s="251"/>
      <c r="B371" s="251"/>
      <c r="C371" s="251"/>
      <c r="D371" s="251"/>
      <c r="E371" s="251"/>
      <c r="F371" s="251"/>
      <c r="G371" s="251"/>
      <c r="H371" s="251"/>
    </row>
    <row r="372">
      <c r="A372" s="251"/>
      <c r="B372" s="251"/>
      <c r="C372" s="251"/>
      <c r="D372" s="251"/>
      <c r="E372" s="251"/>
      <c r="F372" s="251"/>
      <c r="G372" s="251"/>
      <c r="H372" s="251"/>
    </row>
    <row r="373">
      <c r="A373" s="251"/>
      <c r="B373" s="251"/>
      <c r="C373" s="251"/>
      <c r="D373" s="251"/>
      <c r="E373" s="251"/>
      <c r="F373" s="251"/>
      <c r="G373" s="251"/>
      <c r="H373" s="251"/>
    </row>
    <row r="374">
      <c r="A374" s="251"/>
      <c r="B374" s="251"/>
      <c r="C374" s="251"/>
      <c r="D374" s="251"/>
      <c r="E374" s="251"/>
      <c r="F374" s="251"/>
      <c r="G374" s="251"/>
      <c r="H374" s="251"/>
    </row>
    <row r="375">
      <c r="A375" s="251"/>
      <c r="B375" s="251"/>
      <c r="C375" s="251"/>
      <c r="D375" s="251"/>
      <c r="E375" s="251"/>
      <c r="F375" s="251"/>
      <c r="G375" s="251"/>
      <c r="H375" s="251"/>
    </row>
    <row r="376">
      <c r="A376" s="251"/>
      <c r="B376" s="251"/>
      <c r="C376" s="251"/>
      <c r="D376" s="251"/>
      <c r="E376" s="251"/>
      <c r="F376" s="251"/>
      <c r="G376" s="251"/>
      <c r="H376" s="251"/>
    </row>
    <row r="377">
      <c r="A377" s="251"/>
      <c r="B377" s="251"/>
      <c r="C377" s="251"/>
      <c r="D377" s="251"/>
      <c r="E377" s="251"/>
      <c r="F377" s="251"/>
      <c r="G377" s="251"/>
      <c r="H377" s="251"/>
    </row>
    <row r="378">
      <c r="A378" s="251"/>
      <c r="B378" s="251"/>
      <c r="C378" s="251"/>
      <c r="D378" s="251"/>
      <c r="E378" s="251"/>
      <c r="F378" s="251"/>
      <c r="G378" s="251"/>
      <c r="H378" s="251"/>
    </row>
    <row r="379">
      <c r="A379" s="251"/>
      <c r="B379" s="251"/>
      <c r="C379" s="251"/>
      <c r="D379" s="251"/>
      <c r="E379" s="251"/>
      <c r="F379" s="251"/>
      <c r="G379" s="251"/>
      <c r="H379" s="251"/>
    </row>
    <row r="380">
      <c r="A380" s="251"/>
      <c r="B380" s="251"/>
      <c r="C380" s="251"/>
      <c r="D380" s="251"/>
      <c r="E380" s="251"/>
      <c r="F380" s="251"/>
      <c r="G380" s="251"/>
      <c r="H380" s="251"/>
    </row>
    <row r="381">
      <c r="A381" s="251"/>
      <c r="B381" s="251"/>
      <c r="C381" s="251"/>
      <c r="D381" s="251"/>
      <c r="E381" s="251"/>
      <c r="F381" s="251"/>
      <c r="G381" s="251"/>
      <c r="H381" s="251"/>
    </row>
    <row r="382">
      <c r="A382" s="251"/>
      <c r="B382" s="251"/>
      <c r="C382" s="251"/>
      <c r="D382" s="251"/>
      <c r="E382" s="251"/>
      <c r="F382" s="251"/>
      <c r="G382" s="251"/>
      <c r="H382" s="251"/>
    </row>
    <row r="383">
      <c r="A383" s="251"/>
      <c r="B383" s="251"/>
      <c r="C383" s="251"/>
      <c r="D383" s="251"/>
      <c r="E383" s="251"/>
      <c r="F383" s="251"/>
      <c r="G383" s="251"/>
      <c r="H383" s="251"/>
    </row>
    <row r="384">
      <c r="A384" s="251"/>
      <c r="B384" s="251"/>
      <c r="C384" s="251"/>
      <c r="D384" s="251"/>
      <c r="E384" s="251"/>
      <c r="F384" s="251"/>
      <c r="G384" s="251"/>
      <c r="H384" s="251"/>
    </row>
    <row r="385">
      <c r="A385" s="251"/>
      <c r="B385" s="251"/>
      <c r="C385" s="251"/>
      <c r="D385" s="251"/>
      <c r="E385" s="251"/>
      <c r="F385" s="251"/>
      <c r="G385" s="251"/>
      <c r="H385" s="251"/>
    </row>
    <row r="386">
      <c r="A386" s="251"/>
      <c r="B386" s="251"/>
      <c r="C386" s="251"/>
      <c r="D386" s="251"/>
      <c r="E386" s="251"/>
      <c r="F386" s="251"/>
      <c r="G386" s="251"/>
      <c r="H386" s="251"/>
    </row>
    <row r="387">
      <c r="A387" s="251"/>
      <c r="B387" s="251"/>
      <c r="C387" s="251"/>
      <c r="D387" s="251"/>
      <c r="E387" s="251"/>
      <c r="F387" s="251"/>
      <c r="G387" s="251"/>
      <c r="H387" s="251"/>
    </row>
    <row r="388">
      <c r="A388" s="251"/>
      <c r="B388" s="251"/>
      <c r="C388" s="251"/>
      <c r="D388" s="251"/>
      <c r="E388" s="251"/>
      <c r="F388" s="251"/>
      <c r="G388" s="251"/>
      <c r="H388" s="251"/>
    </row>
    <row r="389">
      <c r="A389" s="251"/>
      <c r="B389" s="251"/>
      <c r="C389" s="251"/>
      <c r="D389" s="251"/>
      <c r="E389" s="251"/>
      <c r="F389" s="251"/>
      <c r="G389" s="251"/>
      <c r="H389" s="251"/>
    </row>
    <row r="390">
      <c r="A390" s="251"/>
      <c r="B390" s="251"/>
      <c r="C390" s="251"/>
      <c r="D390" s="251"/>
      <c r="E390" s="251"/>
      <c r="F390" s="251"/>
      <c r="G390" s="251"/>
      <c r="H390" s="251"/>
    </row>
    <row r="391">
      <c r="A391" s="251"/>
      <c r="B391" s="251"/>
      <c r="C391" s="251"/>
      <c r="D391" s="251"/>
      <c r="E391" s="251"/>
      <c r="F391" s="251"/>
      <c r="G391" s="251"/>
      <c r="H391" s="251"/>
    </row>
    <row r="392">
      <c r="A392" s="251"/>
      <c r="B392" s="251"/>
      <c r="C392" s="251"/>
      <c r="D392" s="251"/>
      <c r="E392" s="251"/>
      <c r="F392" s="251"/>
      <c r="G392" s="251"/>
      <c r="H392" s="251"/>
    </row>
    <row r="393">
      <c r="A393" s="251"/>
      <c r="B393" s="251"/>
      <c r="C393" s="251"/>
      <c r="D393" s="251"/>
      <c r="E393" s="251"/>
      <c r="F393" s="251"/>
      <c r="G393" s="251"/>
      <c r="H393" s="251"/>
    </row>
    <row r="394">
      <c r="A394" s="251"/>
      <c r="B394" s="251"/>
      <c r="C394" s="251"/>
      <c r="D394" s="251"/>
      <c r="E394" s="251"/>
      <c r="F394" s="251"/>
      <c r="G394" s="251"/>
      <c r="H394" s="251"/>
    </row>
    <row r="395">
      <c r="A395" s="251"/>
      <c r="B395" s="251"/>
      <c r="C395" s="251"/>
      <c r="D395" s="251"/>
      <c r="E395" s="251"/>
      <c r="F395" s="251"/>
      <c r="G395" s="251"/>
      <c r="H395" s="251"/>
    </row>
    <row r="396">
      <c r="A396" s="251"/>
      <c r="B396" s="251"/>
      <c r="C396" s="251"/>
      <c r="D396" s="251"/>
      <c r="E396" s="251"/>
      <c r="F396" s="251"/>
      <c r="G396" s="251"/>
      <c r="H396" s="251"/>
    </row>
    <row r="397">
      <c r="A397" s="251"/>
      <c r="B397" s="251"/>
      <c r="C397" s="251"/>
      <c r="D397" s="251"/>
      <c r="E397" s="251"/>
      <c r="F397" s="251"/>
      <c r="G397" s="251"/>
      <c r="H397" s="251"/>
    </row>
    <row r="398">
      <c r="A398" s="251"/>
      <c r="B398" s="251"/>
      <c r="C398" s="251"/>
      <c r="D398" s="251"/>
      <c r="E398" s="251"/>
      <c r="F398" s="251"/>
      <c r="G398" s="251"/>
      <c r="H398" s="251"/>
    </row>
    <row r="399">
      <c r="A399" s="251"/>
      <c r="B399" s="251"/>
      <c r="C399" s="251"/>
      <c r="D399" s="251"/>
      <c r="E399" s="251"/>
      <c r="F399" s="251"/>
      <c r="G399" s="251"/>
      <c r="H399" s="251"/>
    </row>
    <row r="400">
      <c r="A400" s="251"/>
      <c r="B400" s="251"/>
      <c r="C400" s="251"/>
      <c r="D400" s="251"/>
      <c r="E400" s="251"/>
      <c r="F400" s="251"/>
      <c r="G400" s="251"/>
      <c r="H400" s="251"/>
    </row>
    <row r="401">
      <c r="A401" s="251"/>
      <c r="B401" s="251"/>
      <c r="C401" s="251"/>
      <c r="D401" s="251"/>
      <c r="E401" s="251"/>
      <c r="F401" s="251"/>
      <c r="G401" s="251"/>
      <c r="H401" s="251"/>
    </row>
    <row r="402">
      <c r="A402" s="251"/>
      <c r="B402" s="251"/>
      <c r="C402" s="251"/>
      <c r="D402" s="251"/>
      <c r="E402" s="251"/>
      <c r="F402" s="251"/>
      <c r="G402" s="251"/>
      <c r="H402" s="251"/>
    </row>
    <row r="403">
      <c r="A403" s="251"/>
      <c r="B403" s="251"/>
      <c r="C403" s="251"/>
      <c r="D403" s="251"/>
      <c r="E403" s="251"/>
      <c r="F403" s="251"/>
      <c r="G403" s="251"/>
      <c r="H403" s="251"/>
    </row>
    <row r="404">
      <c r="A404" s="251"/>
      <c r="B404" s="251"/>
      <c r="C404" s="251"/>
      <c r="D404" s="251"/>
      <c r="E404" s="251"/>
      <c r="F404" s="251"/>
      <c r="G404" s="251"/>
      <c r="H404" s="251"/>
    </row>
    <row r="405">
      <c r="A405" s="251"/>
      <c r="B405" s="251"/>
      <c r="C405" s="251"/>
      <c r="D405" s="251"/>
      <c r="E405" s="251"/>
      <c r="F405" s="251"/>
      <c r="G405" s="251"/>
      <c r="H405" s="251"/>
    </row>
    <row r="406">
      <c r="A406" s="251"/>
      <c r="B406" s="251"/>
      <c r="C406" s="251"/>
      <c r="D406" s="251"/>
      <c r="E406" s="251"/>
      <c r="F406" s="251"/>
      <c r="G406" s="251"/>
      <c r="H406" s="251"/>
    </row>
    <row r="407">
      <c r="A407" s="251"/>
      <c r="B407" s="251"/>
      <c r="C407" s="251"/>
      <c r="D407" s="251"/>
      <c r="E407" s="251"/>
      <c r="F407" s="251"/>
      <c r="G407" s="251"/>
      <c r="H407" s="251"/>
    </row>
    <row r="408">
      <c r="A408" s="251"/>
      <c r="B408" s="251"/>
      <c r="C408" s="251"/>
      <c r="D408" s="251"/>
      <c r="E408" s="251"/>
      <c r="F408" s="251"/>
      <c r="G408" s="251"/>
      <c r="H408" s="251"/>
    </row>
    <row r="409">
      <c r="A409" s="251"/>
      <c r="B409" s="251"/>
      <c r="C409" s="251"/>
      <c r="D409" s="251"/>
      <c r="E409" s="251"/>
      <c r="F409" s="251"/>
      <c r="G409" s="251"/>
      <c r="H409" s="251"/>
    </row>
    <row r="410">
      <c r="A410" s="251"/>
      <c r="B410" s="251"/>
      <c r="C410" s="251"/>
      <c r="D410" s="251"/>
      <c r="E410" s="251"/>
      <c r="F410" s="251"/>
      <c r="G410" s="251"/>
      <c r="H410" s="251"/>
    </row>
    <row r="411">
      <c r="A411" s="251"/>
      <c r="B411" s="251"/>
      <c r="C411" s="251"/>
      <c r="D411" s="251"/>
      <c r="E411" s="251"/>
      <c r="F411" s="251"/>
      <c r="G411" s="251"/>
      <c r="H411" s="251"/>
    </row>
    <row r="412">
      <c r="A412" s="251"/>
      <c r="B412" s="251"/>
      <c r="C412" s="251"/>
      <c r="D412" s="251"/>
      <c r="E412" s="251"/>
      <c r="F412" s="251"/>
      <c r="G412" s="251"/>
      <c r="H412" s="251"/>
    </row>
    <row r="413">
      <c r="A413" s="251"/>
      <c r="B413" s="251"/>
      <c r="C413" s="251"/>
      <c r="D413" s="251"/>
      <c r="E413" s="251"/>
      <c r="F413" s="251"/>
      <c r="G413" s="251"/>
      <c r="H413" s="251"/>
    </row>
    <row r="414">
      <c r="A414" s="251"/>
      <c r="B414" s="251"/>
      <c r="C414" s="251"/>
      <c r="D414" s="251"/>
      <c r="E414" s="251"/>
      <c r="F414" s="251"/>
      <c r="G414" s="251"/>
      <c r="H414" s="251"/>
    </row>
    <row r="415">
      <c r="A415" s="251"/>
      <c r="B415" s="251"/>
      <c r="C415" s="251"/>
      <c r="D415" s="251"/>
      <c r="E415" s="251"/>
      <c r="F415" s="251"/>
      <c r="G415" s="251"/>
      <c r="H415" s="251"/>
    </row>
    <row r="416">
      <c r="A416" s="251"/>
      <c r="B416" s="251"/>
      <c r="C416" s="251"/>
      <c r="D416" s="251"/>
      <c r="E416" s="251"/>
      <c r="F416" s="251"/>
      <c r="G416" s="251"/>
      <c r="H416" s="251"/>
    </row>
    <row r="417">
      <c r="A417" s="251"/>
      <c r="B417" s="251"/>
      <c r="C417" s="251"/>
      <c r="D417" s="251"/>
      <c r="E417" s="251"/>
      <c r="F417" s="251"/>
      <c r="G417" s="251"/>
      <c r="H417" s="251"/>
    </row>
    <row r="418">
      <c r="A418" s="251"/>
      <c r="B418" s="251"/>
      <c r="C418" s="251"/>
      <c r="D418" s="251"/>
      <c r="E418" s="251"/>
      <c r="F418" s="251"/>
      <c r="G418" s="251"/>
      <c r="H418" s="251"/>
    </row>
    <row r="419">
      <c r="A419" s="251"/>
      <c r="B419" s="251"/>
      <c r="C419" s="251"/>
      <c r="D419" s="251"/>
      <c r="E419" s="251"/>
      <c r="F419" s="251"/>
      <c r="G419" s="251"/>
      <c r="H419" s="251"/>
    </row>
    <row r="420">
      <c r="A420" s="251"/>
      <c r="B420" s="251"/>
      <c r="C420" s="251"/>
      <c r="D420" s="251"/>
      <c r="E420" s="251"/>
      <c r="F420" s="251"/>
      <c r="G420" s="251"/>
      <c r="H420" s="251"/>
    </row>
    <row r="421">
      <c r="A421" s="251"/>
      <c r="B421" s="251"/>
      <c r="C421" s="251"/>
      <c r="D421" s="251"/>
      <c r="E421" s="251"/>
      <c r="F421" s="251"/>
      <c r="G421" s="251"/>
      <c r="H421" s="251"/>
    </row>
    <row r="422">
      <c r="A422" s="251"/>
      <c r="B422" s="251"/>
      <c r="C422" s="251"/>
      <c r="D422" s="251"/>
      <c r="E422" s="251"/>
      <c r="F422" s="251"/>
      <c r="G422" s="251"/>
      <c r="H422" s="251"/>
    </row>
    <row r="423">
      <c r="A423" s="251"/>
      <c r="B423" s="251"/>
      <c r="C423" s="251"/>
      <c r="D423" s="251"/>
      <c r="E423" s="251"/>
      <c r="F423" s="251"/>
      <c r="G423" s="251"/>
      <c r="H423" s="251"/>
    </row>
    <row r="424">
      <c r="A424" s="251"/>
      <c r="B424" s="251"/>
      <c r="C424" s="251"/>
      <c r="D424" s="251"/>
      <c r="E424" s="251"/>
      <c r="F424" s="251"/>
      <c r="G424" s="251"/>
      <c r="H424" s="251"/>
    </row>
    <row r="425">
      <c r="A425" s="251"/>
      <c r="B425" s="251"/>
      <c r="C425" s="251"/>
      <c r="D425" s="251"/>
      <c r="E425" s="251"/>
      <c r="F425" s="251"/>
      <c r="G425" s="251"/>
      <c r="H425" s="251"/>
    </row>
    <row r="426">
      <c r="A426" s="251"/>
      <c r="B426" s="251"/>
      <c r="C426" s="251"/>
      <c r="D426" s="251"/>
      <c r="E426" s="251"/>
      <c r="F426" s="251"/>
      <c r="G426" s="251"/>
      <c r="H426" s="251"/>
    </row>
    <row r="427">
      <c r="A427" s="251"/>
      <c r="B427" s="251"/>
      <c r="C427" s="251"/>
      <c r="D427" s="251"/>
      <c r="E427" s="251"/>
      <c r="F427" s="251"/>
      <c r="G427" s="251"/>
      <c r="H427" s="251"/>
    </row>
    <row r="428">
      <c r="A428" s="251"/>
      <c r="B428" s="251"/>
      <c r="C428" s="251"/>
      <c r="D428" s="251"/>
      <c r="E428" s="251"/>
      <c r="F428" s="251"/>
      <c r="G428" s="251"/>
      <c r="H428" s="251"/>
    </row>
    <row r="429">
      <c r="A429" s="251"/>
      <c r="B429" s="251"/>
      <c r="C429" s="251"/>
      <c r="D429" s="251"/>
      <c r="E429" s="251"/>
      <c r="F429" s="251"/>
      <c r="G429" s="251"/>
      <c r="H429" s="251"/>
    </row>
    <row r="430">
      <c r="A430" s="251"/>
      <c r="B430" s="251"/>
      <c r="C430" s="251"/>
      <c r="D430" s="251"/>
      <c r="E430" s="251"/>
      <c r="F430" s="251"/>
      <c r="G430" s="251"/>
      <c r="H430" s="251"/>
    </row>
    <row r="431">
      <c r="A431" s="251"/>
      <c r="B431" s="251"/>
      <c r="C431" s="251"/>
      <c r="D431" s="251"/>
      <c r="E431" s="251"/>
      <c r="F431" s="251"/>
      <c r="G431" s="251"/>
      <c r="H431" s="251"/>
    </row>
    <row r="432">
      <c r="A432" s="251"/>
      <c r="B432" s="251"/>
      <c r="C432" s="251"/>
      <c r="D432" s="251"/>
      <c r="E432" s="251"/>
      <c r="F432" s="251"/>
      <c r="G432" s="251"/>
      <c r="H432" s="251"/>
    </row>
    <row r="433">
      <c r="A433" s="251"/>
      <c r="B433" s="251"/>
      <c r="C433" s="251"/>
      <c r="D433" s="251"/>
      <c r="E433" s="251"/>
      <c r="F433" s="251"/>
      <c r="G433" s="251"/>
      <c r="H433" s="251"/>
    </row>
    <row r="434">
      <c r="A434" s="251"/>
      <c r="B434" s="251"/>
      <c r="C434" s="251"/>
      <c r="D434" s="251"/>
      <c r="E434" s="251"/>
      <c r="F434" s="251"/>
      <c r="G434" s="251"/>
      <c r="H434" s="251"/>
    </row>
    <row r="435">
      <c r="A435" s="251"/>
      <c r="B435" s="251"/>
      <c r="C435" s="251"/>
      <c r="D435" s="251"/>
      <c r="E435" s="251"/>
      <c r="F435" s="251"/>
      <c r="G435" s="251"/>
      <c r="H435" s="251"/>
    </row>
    <row r="436">
      <c r="A436" s="251"/>
      <c r="B436" s="251"/>
      <c r="C436" s="251"/>
      <c r="D436" s="251"/>
      <c r="E436" s="251"/>
      <c r="F436" s="251"/>
      <c r="G436" s="251"/>
      <c r="H436" s="251"/>
    </row>
    <row r="437">
      <c r="A437" s="251"/>
      <c r="B437" s="251"/>
      <c r="C437" s="251"/>
      <c r="D437" s="251"/>
      <c r="E437" s="251"/>
      <c r="F437" s="251"/>
      <c r="G437" s="251"/>
      <c r="H437" s="251"/>
    </row>
    <row r="438">
      <c r="A438" s="251"/>
      <c r="B438" s="251"/>
      <c r="C438" s="251"/>
      <c r="D438" s="251"/>
      <c r="E438" s="251"/>
      <c r="F438" s="251"/>
      <c r="G438" s="251"/>
      <c r="H438" s="251"/>
    </row>
    <row r="439">
      <c r="A439" s="251"/>
      <c r="B439" s="251"/>
      <c r="C439" s="251"/>
      <c r="D439" s="251"/>
      <c r="E439" s="251"/>
      <c r="F439" s="251"/>
      <c r="G439" s="251"/>
      <c r="H439" s="251"/>
    </row>
    <row r="440">
      <c r="A440" s="251"/>
      <c r="B440" s="251"/>
      <c r="C440" s="251"/>
      <c r="D440" s="251"/>
      <c r="E440" s="251"/>
      <c r="F440" s="251"/>
      <c r="G440" s="251"/>
      <c r="H440" s="251"/>
    </row>
    <row r="441">
      <c r="A441" s="251"/>
      <c r="B441" s="251"/>
      <c r="C441" s="251"/>
      <c r="D441" s="251"/>
      <c r="E441" s="251"/>
      <c r="F441" s="251"/>
      <c r="G441" s="251"/>
      <c r="H441" s="251"/>
    </row>
    <row r="442">
      <c r="A442" s="251"/>
      <c r="B442" s="251"/>
      <c r="C442" s="251"/>
      <c r="D442" s="251"/>
      <c r="E442" s="251"/>
      <c r="F442" s="251"/>
      <c r="G442" s="251"/>
      <c r="H442" s="251"/>
    </row>
    <row r="443">
      <c r="A443" s="251"/>
      <c r="B443" s="251"/>
      <c r="C443" s="251"/>
      <c r="D443" s="251"/>
      <c r="E443" s="251"/>
      <c r="F443" s="251"/>
      <c r="G443" s="251"/>
      <c r="H443" s="251"/>
    </row>
    <row r="444">
      <c r="A444" s="251"/>
      <c r="B444" s="251"/>
      <c r="C444" s="251"/>
      <c r="D444" s="251"/>
      <c r="E444" s="251"/>
      <c r="F444" s="251"/>
      <c r="G444" s="251"/>
      <c r="H444" s="251"/>
    </row>
    <row r="445">
      <c r="A445" s="251"/>
      <c r="B445" s="251"/>
      <c r="C445" s="251"/>
      <c r="D445" s="251"/>
      <c r="E445" s="251"/>
      <c r="F445" s="251"/>
      <c r="G445" s="251"/>
      <c r="H445" s="251"/>
    </row>
    <row r="446">
      <c r="A446" s="251"/>
      <c r="B446" s="251"/>
      <c r="C446" s="251"/>
      <c r="D446" s="251"/>
      <c r="E446" s="251"/>
      <c r="F446" s="251"/>
      <c r="G446" s="251"/>
      <c r="H446" s="251"/>
    </row>
    <row r="447">
      <c r="A447" s="251"/>
      <c r="B447" s="251"/>
      <c r="C447" s="251"/>
      <c r="D447" s="251"/>
      <c r="E447" s="251"/>
      <c r="F447" s="251"/>
      <c r="G447" s="251"/>
      <c r="H447" s="251"/>
    </row>
    <row r="448">
      <c r="A448" s="251"/>
      <c r="B448" s="251"/>
      <c r="C448" s="251"/>
      <c r="D448" s="251"/>
      <c r="E448" s="251"/>
      <c r="F448" s="251"/>
      <c r="G448" s="251"/>
      <c r="H448" s="251"/>
    </row>
    <row r="449">
      <c r="A449" s="251"/>
      <c r="B449" s="251"/>
      <c r="C449" s="251"/>
      <c r="D449" s="251"/>
      <c r="E449" s="251"/>
      <c r="F449" s="251"/>
      <c r="G449" s="251"/>
      <c r="H449" s="251"/>
    </row>
    <row r="450">
      <c r="A450" s="251"/>
      <c r="B450" s="251"/>
      <c r="C450" s="251"/>
      <c r="D450" s="251"/>
      <c r="E450" s="251"/>
      <c r="F450" s="251"/>
      <c r="G450" s="251"/>
      <c r="H450" s="251"/>
    </row>
    <row r="451">
      <c r="A451" s="251"/>
      <c r="B451" s="251"/>
      <c r="C451" s="251"/>
      <c r="D451" s="251"/>
      <c r="E451" s="251"/>
      <c r="F451" s="251"/>
      <c r="G451" s="251"/>
      <c r="H451" s="251"/>
    </row>
    <row r="452">
      <c r="A452" s="251"/>
      <c r="B452" s="251"/>
      <c r="C452" s="251"/>
      <c r="D452" s="251"/>
      <c r="E452" s="251"/>
      <c r="F452" s="251"/>
      <c r="G452" s="251"/>
      <c r="H452" s="251"/>
    </row>
    <row r="453">
      <c r="A453" s="251"/>
      <c r="B453" s="251"/>
      <c r="C453" s="251"/>
      <c r="D453" s="251"/>
      <c r="E453" s="251"/>
      <c r="F453" s="251"/>
      <c r="G453" s="251"/>
      <c r="H453" s="251"/>
    </row>
    <row r="454">
      <c r="A454" s="251"/>
      <c r="B454" s="251"/>
      <c r="C454" s="251"/>
      <c r="D454" s="251"/>
      <c r="E454" s="251"/>
      <c r="F454" s="251"/>
      <c r="G454" s="251"/>
      <c r="H454" s="251"/>
    </row>
    <row r="455">
      <c r="A455" s="251"/>
      <c r="B455" s="251"/>
      <c r="C455" s="251"/>
      <c r="D455" s="251"/>
      <c r="E455" s="251"/>
      <c r="F455" s="251"/>
      <c r="G455" s="251"/>
      <c r="H455" s="251"/>
    </row>
    <row r="456">
      <c r="A456" s="251"/>
      <c r="B456" s="251"/>
      <c r="C456" s="251"/>
      <c r="D456" s="251"/>
      <c r="E456" s="251"/>
      <c r="F456" s="251"/>
      <c r="G456" s="251"/>
      <c r="H456" s="251"/>
    </row>
    <row r="457">
      <c r="A457" s="251"/>
      <c r="B457" s="251"/>
      <c r="C457" s="251"/>
      <c r="D457" s="251"/>
      <c r="E457" s="251"/>
      <c r="F457" s="251"/>
      <c r="G457" s="251"/>
      <c r="H457" s="251"/>
    </row>
    <row r="458">
      <c r="A458" s="251"/>
      <c r="B458" s="251"/>
      <c r="C458" s="251"/>
      <c r="D458" s="251"/>
      <c r="E458" s="251"/>
      <c r="F458" s="251"/>
      <c r="G458" s="251"/>
      <c r="H458" s="251"/>
    </row>
    <row r="459">
      <c r="A459" s="251"/>
      <c r="B459" s="251"/>
      <c r="C459" s="251"/>
      <c r="D459" s="251"/>
      <c r="E459" s="251"/>
      <c r="F459" s="251"/>
      <c r="G459" s="251"/>
      <c r="H459" s="251"/>
    </row>
    <row r="460">
      <c r="A460" s="251"/>
      <c r="B460" s="251"/>
      <c r="C460" s="251"/>
      <c r="D460" s="251"/>
      <c r="E460" s="251"/>
      <c r="F460" s="251"/>
      <c r="G460" s="251"/>
      <c r="H460" s="251"/>
    </row>
    <row r="461">
      <c r="A461" s="251"/>
      <c r="B461" s="251"/>
      <c r="C461" s="251"/>
      <c r="D461" s="251"/>
      <c r="E461" s="251"/>
      <c r="F461" s="251"/>
      <c r="G461" s="251"/>
      <c r="H461" s="251"/>
    </row>
    <row r="462">
      <c r="A462" s="251"/>
      <c r="B462" s="251"/>
      <c r="C462" s="251"/>
      <c r="D462" s="251"/>
      <c r="E462" s="251"/>
      <c r="F462" s="251"/>
      <c r="G462" s="251"/>
      <c r="H462" s="251"/>
    </row>
    <row r="463">
      <c r="A463" s="251"/>
      <c r="B463" s="251"/>
      <c r="C463" s="251"/>
      <c r="D463" s="251"/>
      <c r="E463" s="251"/>
      <c r="F463" s="251"/>
      <c r="G463" s="251"/>
      <c r="H463" s="251"/>
    </row>
    <row r="464">
      <c r="A464" s="251"/>
      <c r="B464" s="251"/>
      <c r="C464" s="251"/>
      <c r="D464" s="251"/>
      <c r="E464" s="251"/>
      <c r="F464" s="251"/>
      <c r="G464" s="251"/>
      <c r="H464" s="251"/>
    </row>
    <row r="465">
      <c r="A465" s="251"/>
      <c r="B465" s="251"/>
      <c r="C465" s="251"/>
      <c r="D465" s="251"/>
      <c r="E465" s="251"/>
      <c r="F465" s="251"/>
      <c r="G465" s="251"/>
      <c r="H465" s="251"/>
    </row>
    <row r="466">
      <c r="A466" s="251"/>
      <c r="B466" s="251"/>
      <c r="C466" s="251"/>
      <c r="D466" s="251"/>
      <c r="E466" s="251"/>
      <c r="F466" s="251"/>
      <c r="G466" s="251"/>
      <c r="H466" s="251"/>
    </row>
    <row r="467">
      <c r="A467" s="251"/>
      <c r="B467" s="251"/>
      <c r="C467" s="251"/>
      <c r="D467" s="251"/>
      <c r="E467" s="251"/>
      <c r="F467" s="251"/>
      <c r="G467" s="251"/>
      <c r="H467" s="251"/>
    </row>
    <row r="468">
      <c r="A468" s="251"/>
      <c r="B468" s="251"/>
      <c r="C468" s="251"/>
      <c r="D468" s="251"/>
      <c r="E468" s="251"/>
      <c r="F468" s="251"/>
      <c r="G468" s="251"/>
      <c r="H468" s="251"/>
    </row>
    <row r="469">
      <c r="A469" s="251"/>
      <c r="B469" s="251"/>
      <c r="C469" s="251"/>
      <c r="D469" s="251"/>
      <c r="E469" s="251"/>
      <c r="F469" s="251"/>
      <c r="G469" s="251"/>
      <c r="H469" s="251"/>
    </row>
    <row r="470">
      <c r="A470" s="251"/>
      <c r="B470" s="251"/>
      <c r="C470" s="251"/>
      <c r="D470" s="251"/>
      <c r="E470" s="251"/>
      <c r="F470" s="251"/>
      <c r="G470" s="251"/>
      <c r="H470" s="251"/>
    </row>
    <row r="471">
      <c r="A471" s="251"/>
      <c r="B471" s="251"/>
      <c r="C471" s="251"/>
      <c r="D471" s="251"/>
      <c r="E471" s="251"/>
      <c r="F471" s="251"/>
      <c r="G471" s="251"/>
      <c r="H471" s="251"/>
    </row>
    <row r="472">
      <c r="A472" s="251"/>
      <c r="B472" s="251"/>
      <c r="C472" s="251"/>
      <c r="D472" s="251"/>
      <c r="E472" s="251"/>
      <c r="F472" s="251"/>
      <c r="G472" s="251"/>
      <c r="H472" s="251"/>
    </row>
    <row r="473">
      <c r="A473" s="251"/>
      <c r="B473" s="251"/>
      <c r="C473" s="251"/>
      <c r="D473" s="251"/>
      <c r="E473" s="251"/>
      <c r="F473" s="251"/>
      <c r="G473" s="251"/>
      <c r="H473" s="251"/>
    </row>
    <row r="474">
      <c r="A474" s="251"/>
      <c r="B474" s="251"/>
      <c r="C474" s="251"/>
      <c r="D474" s="251"/>
      <c r="E474" s="251"/>
      <c r="F474" s="251"/>
      <c r="G474" s="251"/>
      <c r="H474" s="251"/>
    </row>
    <row r="475">
      <c r="A475" s="251"/>
      <c r="B475" s="251"/>
      <c r="C475" s="251"/>
      <c r="D475" s="251"/>
      <c r="E475" s="251"/>
      <c r="F475" s="251"/>
      <c r="G475" s="251"/>
      <c r="H475" s="251"/>
    </row>
    <row r="476">
      <c r="A476" s="251"/>
      <c r="B476" s="251"/>
      <c r="C476" s="251"/>
      <c r="D476" s="251"/>
      <c r="E476" s="251"/>
      <c r="F476" s="251"/>
      <c r="G476" s="251"/>
      <c r="H476" s="251"/>
    </row>
    <row r="477">
      <c r="A477" s="251"/>
      <c r="B477" s="251"/>
      <c r="C477" s="251"/>
      <c r="D477" s="251"/>
      <c r="E477" s="251"/>
      <c r="F477" s="251"/>
      <c r="G477" s="251"/>
      <c r="H477" s="251"/>
    </row>
    <row r="478">
      <c r="A478" s="251"/>
      <c r="B478" s="251"/>
      <c r="C478" s="251"/>
      <c r="D478" s="251"/>
      <c r="E478" s="251"/>
      <c r="F478" s="251"/>
      <c r="G478" s="251"/>
      <c r="H478" s="251"/>
    </row>
    <row r="479">
      <c r="A479" s="251"/>
      <c r="B479" s="251"/>
      <c r="C479" s="251"/>
      <c r="D479" s="251"/>
      <c r="E479" s="251"/>
      <c r="F479" s="251"/>
      <c r="G479" s="251"/>
      <c r="H479" s="251"/>
    </row>
    <row r="480">
      <c r="A480" s="251"/>
      <c r="B480" s="251"/>
      <c r="C480" s="251"/>
      <c r="D480" s="251"/>
      <c r="E480" s="251"/>
      <c r="F480" s="251"/>
      <c r="G480" s="251"/>
      <c r="H480" s="251"/>
    </row>
    <row r="481">
      <c r="A481" s="251"/>
      <c r="B481" s="251"/>
      <c r="C481" s="251"/>
      <c r="D481" s="251"/>
      <c r="E481" s="251"/>
      <c r="F481" s="251"/>
      <c r="G481" s="251"/>
      <c r="H481" s="251"/>
    </row>
    <row r="482">
      <c r="A482" s="251"/>
      <c r="B482" s="251"/>
      <c r="C482" s="251"/>
      <c r="D482" s="251"/>
      <c r="E482" s="251"/>
      <c r="F482" s="251"/>
      <c r="G482" s="251"/>
      <c r="H482" s="251"/>
    </row>
    <row r="483">
      <c r="A483" s="251"/>
      <c r="B483" s="251"/>
      <c r="C483" s="251"/>
      <c r="D483" s="251"/>
      <c r="E483" s="251"/>
      <c r="F483" s="251"/>
      <c r="G483" s="251"/>
      <c r="H483" s="251"/>
    </row>
    <row r="484">
      <c r="A484" s="251"/>
      <c r="B484" s="251"/>
      <c r="C484" s="251"/>
      <c r="D484" s="251"/>
      <c r="E484" s="251"/>
      <c r="F484" s="251"/>
      <c r="G484" s="251"/>
      <c r="H484" s="251"/>
    </row>
    <row r="485">
      <c r="A485" s="251"/>
      <c r="B485" s="251"/>
      <c r="C485" s="251"/>
      <c r="D485" s="251"/>
      <c r="E485" s="251"/>
      <c r="F485" s="251"/>
      <c r="G485" s="251"/>
      <c r="H485" s="251"/>
    </row>
    <row r="486">
      <c r="A486" s="251"/>
      <c r="B486" s="251"/>
      <c r="C486" s="251"/>
      <c r="D486" s="251"/>
      <c r="E486" s="251"/>
      <c r="F486" s="251"/>
      <c r="G486" s="251"/>
      <c r="H486" s="251"/>
    </row>
    <row r="487">
      <c r="A487" s="251"/>
      <c r="B487" s="251"/>
      <c r="C487" s="251"/>
      <c r="D487" s="251"/>
      <c r="E487" s="251"/>
      <c r="F487" s="251"/>
      <c r="G487" s="251"/>
      <c r="H487" s="251"/>
    </row>
    <row r="488">
      <c r="A488" s="251"/>
      <c r="B488" s="251"/>
      <c r="C488" s="251"/>
      <c r="D488" s="251"/>
      <c r="E488" s="251"/>
      <c r="F488" s="251"/>
      <c r="G488" s="251"/>
      <c r="H488" s="251"/>
    </row>
    <row r="489">
      <c r="A489" s="251"/>
      <c r="B489" s="251"/>
      <c r="C489" s="251"/>
      <c r="D489" s="251"/>
      <c r="E489" s="251"/>
      <c r="F489" s="251"/>
      <c r="G489" s="251"/>
      <c r="H489" s="251"/>
    </row>
    <row r="490">
      <c r="A490" s="251"/>
      <c r="B490" s="251"/>
      <c r="C490" s="251"/>
      <c r="D490" s="251"/>
      <c r="E490" s="251"/>
      <c r="F490" s="251"/>
      <c r="G490" s="251"/>
      <c r="H490" s="251"/>
    </row>
    <row r="491">
      <c r="A491" s="251"/>
      <c r="B491" s="251"/>
      <c r="C491" s="251"/>
      <c r="D491" s="251"/>
      <c r="E491" s="251"/>
      <c r="F491" s="251"/>
      <c r="G491" s="251"/>
      <c r="H491" s="251"/>
    </row>
    <row r="492">
      <c r="A492" s="251"/>
      <c r="B492" s="251"/>
      <c r="C492" s="251"/>
      <c r="D492" s="251"/>
      <c r="E492" s="251"/>
      <c r="F492" s="251"/>
      <c r="G492" s="251"/>
      <c r="H492" s="251"/>
    </row>
    <row r="493">
      <c r="A493" s="251"/>
      <c r="B493" s="251"/>
      <c r="C493" s="251"/>
      <c r="D493" s="251"/>
      <c r="E493" s="251"/>
      <c r="F493" s="251"/>
      <c r="G493" s="251"/>
      <c r="H493" s="251"/>
    </row>
    <row r="494">
      <c r="A494" s="251"/>
      <c r="B494" s="251"/>
      <c r="C494" s="251"/>
      <c r="D494" s="251"/>
      <c r="E494" s="251"/>
      <c r="F494" s="251"/>
      <c r="G494" s="251"/>
      <c r="H494" s="251"/>
    </row>
    <row r="495">
      <c r="A495" s="251"/>
      <c r="B495" s="251"/>
      <c r="C495" s="251"/>
      <c r="D495" s="251"/>
      <c r="E495" s="251"/>
      <c r="F495" s="251"/>
      <c r="G495" s="251"/>
      <c r="H495" s="251"/>
    </row>
    <row r="496">
      <c r="A496" s="251"/>
      <c r="B496" s="251"/>
      <c r="C496" s="251"/>
      <c r="D496" s="251"/>
      <c r="E496" s="251"/>
      <c r="F496" s="251"/>
      <c r="G496" s="251"/>
      <c r="H496" s="251"/>
    </row>
    <row r="497">
      <c r="A497" s="251"/>
      <c r="B497" s="251"/>
      <c r="C497" s="251"/>
      <c r="D497" s="251"/>
      <c r="E497" s="251"/>
      <c r="F497" s="251"/>
      <c r="G497" s="251"/>
      <c r="H497" s="251"/>
    </row>
    <row r="498">
      <c r="A498" s="251"/>
      <c r="B498" s="251"/>
      <c r="C498" s="251"/>
      <c r="D498" s="251"/>
      <c r="E498" s="251"/>
      <c r="F498" s="251"/>
      <c r="G498" s="251"/>
      <c r="H498" s="251"/>
    </row>
    <row r="499">
      <c r="A499" s="251"/>
      <c r="B499" s="251"/>
      <c r="C499" s="251"/>
      <c r="D499" s="251"/>
      <c r="E499" s="251"/>
      <c r="F499" s="251"/>
      <c r="G499" s="251"/>
      <c r="H499" s="251"/>
    </row>
    <row r="500">
      <c r="A500" s="251"/>
      <c r="B500" s="251"/>
      <c r="C500" s="251"/>
      <c r="D500" s="251"/>
      <c r="E500" s="251"/>
      <c r="F500" s="251"/>
      <c r="G500" s="251"/>
      <c r="H500" s="251"/>
    </row>
    <row r="501">
      <c r="A501" s="251"/>
      <c r="B501" s="251"/>
      <c r="C501" s="251"/>
      <c r="D501" s="251"/>
      <c r="E501" s="251"/>
      <c r="F501" s="251"/>
      <c r="G501" s="251"/>
      <c r="H501" s="251"/>
    </row>
    <row r="502">
      <c r="A502" s="251"/>
      <c r="B502" s="251"/>
      <c r="C502" s="251"/>
      <c r="D502" s="251"/>
      <c r="E502" s="251"/>
      <c r="F502" s="251"/>
      <c r="G502" s="251"/>
      <c r="H502" s="251"/>
    </row>
    <row r="503">
      <c r="A503" s="251"/>
      <c r="B503" s="251"/>
      <c r="C503" s="251"/>
      <c r="D503" s="251"/>
      <c r="E503" s="251"/>
      <c r="F503" s="251"/>
      <c r="G503" s="251"/>
      <c r="H503" s="251"/>
    </row>
    <row r="504">
      <c r="A504" s="251"/>
      <c r="B504" s="251"/>
      <c r="C504" s="251"/>
      <c r="D504" s="251"/>
      <c r="E504" s="251"/>
      <c r="F504" s="251"/>
      <c r="G504" s="251"/>
      <c r="H504" s="251"/>
    </row>
    <row r="505">
      <c r="A505" s="251"/>
      <c r="B505" s="251"/>
      <c r="C505" s="251"/>
      <c r="D505" s="251"/>
      <c r="E505" s="251"/>
      <c r="F505" s="251"/>
      <c r="G505" s="251"/>
      <c r="H505" s="251"/>
    </row>
    <row r="506">
      <c r="A506" s="251"/>
      <c r="B506" s="251"/>
      <c r="C506" s="251"/>
      <c r="D506" s="251"/>
      <c r="E506" s="251"/>
      <c r="F506" s="251"/>
      <c r="G506" s="251"/>
      <c r="H506" s="251"/>
    </row>
    <row r="507">
      <c r="A507" s="251"/>
      <c r="B507" s="251"/>
      <c r="C507" s="251"/>
      <c r="D507" s="251"/>
      <c r="E507" s="251"/>
      <c r="F507" s="251"/>
      <c r="G507" s="251"/>
      <c r="H507" s="251"/>
    </row>
    <row r="508">
      <c r="A508" s="251"/>
      <c r="B508" s="251"/>
      <c r="C508" s="251"/>
      <c r="D508" s="251"/>
      <c r="E508" s="251"/>
      <c r="F508" s="251"/>
      <c r="G508" s="251"/>
      <c r="H508" s="251"/>
    </row>
    <row r="509">
      <c r="A509" s="251"/>
      <c r="B509" s="251"/>
      <c r="C509" s="251"/>
      <c r="D509" s="251"/>
      <c r="E509" s="251"/>
      <c r="F509" s="251"/>
      <c r="G509" s="251"/>
      <c r="H509" s="251"/>
    </row>
    <row r="510">
      <c r="A510" s="251"/>
      <c r="B510" s="251"/>
      <c r="C510" s="251"/>
      <c r="D510" s="251"/>
      <c r="E510" s="251"/>
      <c r="F510" s="251"/>
      <c r="G510" s="251"/>
      <c r="H510" s="251"/>
    </row>
    <row r="511">
      <c r="A511" s="251"/>
      <c r="B511" s="251"/>
      <c r="C511" s="251"/>
      <c r="D511" s="251"/>
      <c r="E511" s="251"/>
      <c r="F511" s="251"/>
      <c r="G511" s="251"/>
      <c r="H511" s="251"/>
    </row>
    <row r="512">
      <c r="A512" s="251"/>
      <c r="B512" s="251"/>
      <c r="C512" s="251"/>
      <c r="D512" s="251"/>
      <c r="E512" s="251"/>
      <c r="F512" s="251"/>
      <c r="G512" s="251"/>
      <c r="H512" s="251"/>
    </row>
    <row r="513">
      <c r="A513" s="251"/>
      <c r="B513" s="251"/>
      <c r="C513" s="251"/>
      <c r="D513" s="251"/>
      <c r="E513" s="251"/>
      <c r="F513" s="251"/>
      <c r="G513" s="251"/>
      <c r="H513" s="251"/>
    </row>
    <row r="514">
      <c r="A514" s="251"/>
      <c r="B514" s="251"/>
      <c r="C514" s="251"/>
      <c r="D514" s="251"/>
      <c r="E514" s="251"/>
      <c r="F514" s="251"/>
      <c r="G514" s="251"/>
      <c r="H514" s="251"/>
    </row>
    <row r="515">
      <c r="A515" s="251"/>
      <c r="B515" s="251"/>
      <c r="C515" s="251"/>
      <c r="D515" s="251"/>
      <c r="E515" s="251"/>
      <c r="F515" s="251"/>
      <c r="G515" s="251"/>
      <c r="H515" s="251"/>
    </row>
    <row r="516">
      <c r="A516" s="251"/>
      <c r="B516" s="251"/>
      <c r="C516" s="251"/>
      <c r="D516" s="251"/>
      <c r="E516" s="251"/>
      <c r="F516" s="251"/>
      <c r="G516" s="251"/>
      <c r="H516" s="251"/>
    </row>
    <row r="517">
      <c r="A517" s="251"/>
      <c r="B517" s="251"/>
      <c r="C517" s="251"/>
      <c r="D517" s="251"/>
      <c r="E517" s="251"/>
      <c r="F517" s="251"/>
      <c r="G517" s="251"/>
      <c r="H517" s="251"/>
    </row>
    <row r="518">
      <c r="A518" s="251"/>
      <c r="B518" s="251"/>
      <c r="C518" s="251"/>
      <c r="D518" s="251"/>
      <c r="E518" s="251"/>
      <c r="F518" s="251"/>
      <c r="G518" s="251"/>
      <c r="H518" s="251"/>
    </row>
    <row r="519">
      <c r="A519" s="251"/>
      <c r="B519" s="251"/>
      <c r="C519" s="251"/>
      <c r="D519" s="251"/>
      <c r="E519" s="251"/>
      <c r="F519" s="251"/>
      <c r="G519" s="251"/>
      <c r="H519" s="251"/>
    </row>
    <row r="520">
      <c r="A520" s="251"/>
      <c r="B520" s="251"/>
      <c r="C520" s="251"/>
      <c r="D520" s="251"/>
      <c r="E520" s="251"/>
      <c r="F520" s="251"/>
      <c r="G520" s="251"/>
      <c r="H520" s="251"/>
    </row>
    <row r="521">
      <c r="A521" s="251"/>
      <c r="B521" s="251"/>
      <c r="C521" s="251"/>
      <c r="D521" s="251"/>
      <c r="E521" s="251"/>
      <c r="F521" s="251"/>
      <c r="G521" s="251"/>
      <c r="H521" s="251"/>
    </row>
    <row r="522">
      <c r="A522" s="251"/>
      <c r="B522" s="251"/>
      <c r="C522" s="251"/>
      <c r="D522" s="251"/>
      <c r="E522" s="251"/>
      <c r="F522" s="251"/>
      <c r="G522" s="251"/>
      <c r="H522" s="251"/>
    </row>
    <row r="523">
      <c r="A523" s="251"/>
      <c r="B523" s="251"/>
      <c r="C523" s="251"/>
      <c r="D523" s="251"/>
      <c r="E523" s="251"/>
      <c r="F523" s="251"/>
      <c r="G523" s="251"/>
      <c r="H523" s="251"/>
    </row>
    <row r="524">
      <c r="A524" s="251"/>
      <c r="B524" s="251"/>
      <c r="C524" s="251"/>
      <c r="D524" s="251"/>
      <c r="E524" s="251"/>
      <c r="F524" s="251"/>
      <c r="G524" s="251"/>
      <c r="H524" s="251"/>
    </row>
    <row r="525">
      <c r="A525" s="251"/>
      <c r="B525" s="251"/>
      <c r="C525" s="251"/>
      <c r="D525" s="251"/>
      <c r="E525" s="251"/>
      <c r="F525" s="251"/>
      <c r="G525" s="251"/>
      <c r="H525" s="251"/>
    </row>
    <row r="526">
      <c r="A526" s="251"/>
      <c r="B526" s="251"/>
      <c r="C526" s="251"/>
      <c r="D526" s="251"/>
      <c r="E526" s="251"/>
      <c r="F526" s="251"/>
      <c r="G526" s="251"/>
      <c r="H526" s="251"/>
    </row>
    <row r="527">
      <c r="A527" s="251"/>
      <c r="B527" s="251"/>
      <c r="C527" s="251"/>
      <c r="D527" s="251"/>
      <c r="E527" s="251"/>
      <c r="F527" s="251"/>
      <c r="G527" s="251"/>
      <c r="H527" s="251"/>
    </row>
    <row r="528">
      <c r="A528" s="251"/>
      <c r="B528" s="251"/>
      <c r="C528" s="251"/>
      <c r="D528" s="251"/>
      <c r="E528" s="251"/>
      <c r="F528" s="251"/>
      <c r="G528" s="251"/>
      <c r="H528" s="251"/>
    </row>
    <row r="529">
      <c r="A529" s="251"/>
      <c r="B529" s="251"/>
      <c r="C529" s="251"/>
      <c r="D529" s="251"/>
      <c r="E529" s="251"/>
      <c r="F529" s="251"/>
      <c r="G529" s="251"/>
      <c r="H529" s="251"/>
    </row>
    <row r="530">
      <c r="A530" s="251"/>
      <c r="B530" s="251"/>
      <c r="C530" s="251"/>
      <c r="D530" s="251"/>
      <c r="E530" s="251"/>
      <c r="F530" s="251"/>
      <c r="G530" s="251"/>
      <c r="H530" s="251"/>
    </row>
    <row r="531">
      <c r="A531" s="251"/>
      <c r="B531" s="251"/>
      <c r="C531" s="251"/>
      <c r="D531" s="251"/>
      <c r="E531" s="251"/>
      <c r="F531" s="251"/>
      <c r="G531" s="251"/>
      <c r="H531" s="251"/>
    </row>
    <row r="532">
      <c r="A532" s="251"/>
      <c r="B532" s="251"/>
      <c r="C532" s="251"/>
      <c r="D532" s="251"/>
      <c r="E532" s="251"/>
      <c r="F532" s="251"/>
      <c r="G532" s="251"/>
      <c r="H532" s="251"/>
    </row>
    <row r="533">
      <c r="A533" s="251"/>
      <c r="B533" s="251"/>
      <c r="C533" s="251"/>
      <c r="D533" s="251"/>
      <c r="E533" s="251"/>
      <c r="F533" s="251"/>
      <c r="G533" s="251"/>
      <c r="H533" s="251"/>
    </row>
    <row r="534">
      <c r="A534" s="251"/>
      <c r="B534" s="251"/>
      <c r="C534" s="251"/>
      <c r="D534" s="251"/>
      <c r="E534" s="251"/>
      <c r="F534" s="251"/>
      <c r="G534" s="251"/>
      <c r="H534" s="251"/>
    </row>
    <row r="535">
      <c r="A535" s="251"/>
      <c r="B535" s="251"/>
      <c r="C535" s="251"/>
      <c r="D535" s="251"/>
      <c r="E535" s="251"/>
      <c r="F535" s="251"/>
      <c r="G535" s="251"/>
      <c r="H535" s="251"/>
    </row>
    <row r="536">
      <c r="A536" s="251"/>
      <c r="B536" s="251"/>
      <c r="C536" s="251"/>
      <c r="D536" s="251"/>
      <c r="E536" s="251"/>
      <c r="F536" s="251"/>
      <c r="G536" s="251"/>
      <c r="H536" s="251"/>
    </row>
    <row r="537">
      <c r="A537" s="251"/>
      <c r="B537" s="251"/>
      <c r="C537" s="251"/>
      <c r="D537" s="251"/>
      <c r="E537" s="251"/>
      <c r="F537" s="251"/>
      <c r="G537" s="251"/>
      <c r="H537" s="251"/>
    </row>
    <row r="538">
      <c r="A538" s="251"/>
      <c r="B538" s="251"/>
      <c r="C538" s="251"/>
      <c r="D538" s="251"/>
      <c r="E538" s="251"/>
      <c r="F538" s="251"/>
      <c r="G538" s="251"/>
      <c r="H538" s="251"/>
    </row>
    <row r="539">
      <c r="A539" s="251"/>
      <c r="B539" s="251"/>
      <c r="C539" s="251"/>
      <c r="D539" s="251"/>
      <c r="E539" s="251"/>
      <c r="F539" s="251"/>
      <c r="G539" s="251"/>
      <c r="H539" s="251"/>
    </row>
    <row r="540">
      <c r="A540" s="251"/>
      <c r="B540" s="251"/>
      <c r="C540" s="251"/>
      <c r="D540" s="251"/>
      <c r="E540" s="251"/>
      <c r="F540" s="251"/>
      <c r="G540" s="251"/>
      <c r="H540" s="251"/>
    </row>
    <row r="541">
      <c r="A541" s="251"/>
      <c r="B541" s="251"/>
      <c r="C541" s="251"/>
      <c r="D541" s="251"/>
      <c r="E541" s="251"/>
      <c r="F541" s="251"/>
      <c r="G541" s="251"/>
      <c r="H541" s="251"/>
    </row>
    <row r="542">
      <c r="A542" s="251"/>
      <c r="B542" s="251"/>
      <c r="C542" s="251"/>
      <c r="D542" s="251"/>
      <c r="E542" s="251"/>
      <c r="F542" s="251"/>
      <c r="G542" s="251"/>
      <c r="H542" s="251"/>
    </row>
    <row r="543">
      <c r="A543" s="251"/>
      <c r="B543" s="251"/>
      <c r="C543" s="251"/>
      <c r="D543" s="251"/>
      <c r="E543" s="251"/>
      <c r="F543" s="251"/>
      <c r="G543" s="251"/>
      <c r="H543" s="251"/>
    </row>
    <row r="544">
      <c r="A544" s="251"/>
      <c r="B544" s="251"/>
      <c r="C544" s="251"/>
      <c r="D544" s="251"/>
      <c r="E544" s="251"/>
      <c r="F544" s="251"/>
      <c r="G544" s="251"/>
      <c r="H544" s="251"/>
    </row>
    <row r="545">
      <c r="A545" s="251"/>
      <c r="B545" s="251"/>
      <c r="C545" s="251"/>
      <c r="D545" s="251"/>
      <c r="E545" s="251"/>
      <c r="F545" s="251"/>
      <c r="G545" s="251"/>
      <c r="H545" s="251"/>
    </row>
    <row r="546">
      <c r="A546" s="251"/>
      <c r="B546" s="251"/>
      <c r="C546" s="251"/>
      <c r="D546" s="251"/>
      <c r="E546" s="251"/>
      <c r="F546" s="251"/>
      <c r="G546" s="251"/>
      <c r="H546" s="251"/>
    </row>
    <row r="547">
      <c r="A547" s="251"/>
      <c r="B547" s="251"/>
      <c r="C547" s="251"/>
      <c r="D547" s="251"/>
      <c r="E547" s="251"/>
      <c r="F547" s="251"/>
      <c r="G547" s="251"/>
      <c r="H547" s="251"/>
    </row>
    <row r="548">
      <c r="A548" s="251"/>
      <c r="B548" s="251"/>
      <c r="C548" s="251"/>
      <c r="D548" s="251"/>
      <c r="E548" s="251"/>
      <c r="F548" s="251"/>
      <c r="G548" s="251"/>
      <c r="H548" s="251"/>
    </row>
    <row r="549">
      <c r="A549" s="251"/>
      <c r="B549" s="251"/>
      <c r="C549" s="251"/>
      <c r="D549" s="251"/>
      <c r="E549" s="251"/>
      <c r="F549" s="251"/>
      <c r="G549" s="251"/>
      <c r="H549" s="251"/>
    </row>
    <row r="550">
      <c r="A550" s="251"/>
      <c r="B550" s="251"/>
      <c r="C550" s="251"/>
      <c r="D550" s="251"/>
      <c r="E550" s="251"/>
      <c r="F550" s="251"/>
      <c r="G550" s="251"/>
      <c r="H550" s="251"/>
    </row>
    <row r="551">
      <c r="A551" s="251"/>
      <c r="B551" s="251"/>
      <c r="C551" s="251"/>
      <c r="D551" s="251"/>
      <c r="E551" s="251"/>
      <c r="F551" s="251"/>
      <c r="G551" s="251"/>
      <c r="H551" s="251"/>
    </row>
    <row r="552">
      <c r="A552" s="251"/>
      <c r="B552" s="251"/>
      <c r="C552" s="251"/>
      <c r="D552" s="251"/>
      <c r="E552" s="251"/>
      <c r="F552" s="251"/>
      <c r="G552" s="251"/>
      <c r="H552" s="251"/>
    </row>
    <row r="553">
      <c r="A553" s="251"/>
      <c r="B553" s="251"/>
      <c r="C553" s="251"/>
      <c r="D553" s="251"/>
      <c r="E553" s="251"/>
      <c r="F553" s="251"/>
      <c r="G553" s="251"/>
      <c r="H553" s="251"/>
    </row>
    <row r="554">
      <c r="A554" s="251"/>
      <c r="B554" s="251"/>
      <c r="C554" s="251"/>
      <c r="D554" s="251"/>
      <c r="E554" s="251"/>
      <c r="F554" s="251"/>
      <c r="G554" s="251"/>
      <c r="H554" s="251"/>
    </row>
    <row r="555">
      <c r="A555" s="251"/>
      <c r="B555" s="251"/>
      <c r="C555" s="251"/>
      <c r="D555" s="251"/>
      <c r="E555" s="251"/>
      <c r="F555" s="251"/>
      <c r="G555" s="251"/>
      <c r="H555" s="251"/>
    </row>
    <row r="556">
      <c r="A556" s="251"/>
      <c r="B556" s="251"/>
      <c r="C556" s="251"/>
      <c r="D556" s="251"/>
      <c r="E556" s="251"/>
      <c r="F556" s="251"/>
      <c r="G556" s="251"/>
      <c r="H556" s="251"/>
    </row>
    <row r="557">
      <c r="A557" s="251"/>
      <c r="B557" s="251"/>
      <c r="C557" s="251"/>
      <c r="D557" s="251"/>
      <c r="E557" s="251"/>
      <c r="F557" s="251"/>
      <c r="G557" s="251"/>
      <c r="H557" s="251"/>
    </row>
    <row r="558">
      <c r="A558" s="251"/>
      <c r="B558" s="251"/>
      <c r="C558" s="251"/>
      <c r="D558" s="251"/>
      <c r="E558" s="251"/>
      <c r="F558" s="251"/>
      <c r="G558" s="251"/>
      <c r="H558" s="251"/>
    </row>
    <row r="559">
      <c r="A559" s="251"/>
      <c r="B559" s="251"/>
      <c r="C559" s="251"/>
      <c r="D559" s="251"/>
      <c r="E559" s="251"/>
      <c r="F559" s="251"/>
      <c r="G559" s="251"/>
      <c r="H559" s="251"/>
    </row>
    <row r="560">
      <c r="A560" s="251"/>
      <c r="B560" s="251"/>
      <c r="C560" s="251"/>
      <c r="D560" s="251"/>
      <c r="E560" s="251"/>
      <c r="F560" s="251"/>
      <c r="G560" s="251"/>
      <c r="H560" s="251"/>
    </row>
    <row r="561">
      <c r="A561" s="251"/>
      <c r="B561" s="251"/>
      <c r="C561" s="251"/>
      <c r="D561" s="251"/>
      <c r="E561" s="251"/>
      <c r="F561" s="251"/>
      <c r="G561" s="251"/>
      <c r="H561" s="251"/>
    </row>
    <row r="562">
      <c r="A562" s="251"/>
      <c r="B562" s="251"/>
      <c r="C562" s="251"/>
      <c r="D562" s="251"/>
      <c r="E562" s="251"/>
      <c r="F562" s="251"/>
      <c r="G562" s="251"/>
      <c r="H562" s="251"/>
    </row>
    <row r="563">
      <c r="A563" s="251"/>
      <c r="B563" s="251"/>
      <c r="C563" s="251"/>
      <c r="D563" s="251"/>
      <c r="E563" s="251"/>
      <c r="F563" s="251"/>
      <c r="G563" s="251"/>
      <c r="H563" s="251"/>
    </row>
    <row r="564">
      <c r="A564" s="251"/>
      <c r="B564" s="251"/>
      <c r="C564" s="251"/>
      <c r="D564" s="251"/>
      <c r="E564" s="251"/>
      <c r="F564" s="251"/>
      <c r="G564" s="251"/>
      <c r="H564" s="251"/>
    </row>
    <row r="565">
      <c r="A565" s="251"/>
      <c r="B565" s="251"/>
      <c r="C565" s="251"/>
      <c r="D565" s="251"/>
      <c r="E565" s="251"/>
      <c r="F565" s="251"/>
      <c r="G565" s="251"/>
      <c r="H565" s="251"/>
    </row>
    <row r="566">
      <c r="A566" s="251"/>
      <c r="B566" s="251"/>
      <c r="C566" s="251"/>
      <c r="D566" s="251"/>
      <c r="E566" s="251"/>
      <c r="F566" s="251"/>
      <c r="G566" s="251"/>
      <c r="H566" s="251"/>
    </row>
    <row r="567">
      <c r="A567" s="251"/>
      <c r="B567" s="251"/>
      <c r="C567" s="251"/>
      <c r="D567" s="251"/>
      <c r="E567" s="251"/>
      <c r="F567" s="251"/>
      <c r="G567" s="251"/>
      <c r="H567" s="251"/>
    </row>
    <row r="568">
      <c r="A568" s="251"/>
      <c r="B568" s="251"/>
      <c r="C568" s="251"/>
      <c r="D568" s="251"/>
      <c r="E568" s="251"/>
      <c r="F568" s="251"/>
      <c r="G568" s="251"/>
      <c r="H568" s="251"/>
    </row>
    <row r="569">
      <c r="A569" s="251"/>
      <c r="B569" s="251"/>
      <c r="C569" s="251"/>
      <c r="D569" s="251"/>
      <c r="E569" s="251"/>
      <c r="F569" s="251"/>
      <c r="G569" s="251"/>
      <c r="H569" s="251"/>
    </row>
    <row r="570">
      <c r="A570" s="251"/>
      <c r="B570" s="251"/>
      <c r="C570" s="251"/>
      <c r="D570" s="251"/>
      <c r="E570" s="251"/>
      <c r="F570" s="251"/>
      <c r="G570" s="251"/>
      <c r="H570" s="251"/>
    </row>
    <row r="571">
      <c r="A571" s="251"/>
      <c r="B571" s="251"/>
      <c r="C571" s="251"/>
      <c r="D571" s="251"/>
      <c r="E571" s="251"/>
      <c r="F571" s="251"/>
      <c r="G571" s="251"/>
      <c r="H571" s="251"/>
    </row>
    <row r="572">
      <c r="A572" s="251"/>
      <c r="B572" s="251"/>
      <c r="C572" s="251"/>
      <c r="D572" s="251"/>
      <c r="E572" s="251"/>
      <c r="F572" s="251"/>
      <c r="G572" s="251"/>
      <c r="H572" s="251"/>
    </row>
    <row r="573">
      <c r="A573" s="251"/>
      <c r="B573" s="251"/>
      <c r="C573" s="251"/>
      <c r="D573" s="251"/>
      <c r="E573" s="251"/>
      <c r="F573" s="251"/>
      <c r="G573" s="251"/>
      <c r="H573" s="251"/>
    </row>
    <row r="574">
      <c r="A574" s="251"/>
      <c r="B574" s="251"/>
      <c r="C574" s="251"/>
      <c r="D574" s="251"/>
      <c r="E574" s="251"/>
      <c r="F574" s="251"/>
      <c r="G574" s="251"/>
      <c r="H574" s="251"/>
    </row>
    <row r="575">
      <c r="A575" s="251"/>
      <c r="B575" s="251"/>
      <c r="C575" s="251"/>
      <c r="D575" s="251"/>
      <c r="E575" s="251"/>
      <c r="F575" s="251"/>
      <c r="G575" s="251"/>
      <c r="H575" s="251"/>
    </row>
    <row r="576">
      <c r="A576" s="251"/>
      <c r="B576" s="251"/>
      <c r="C576" s="251"/>
      <c r="D576" s="251"/>
      <c r="E576" s="251"/>
      <c r="F576" s="251"/>
      <c r="G576" s="251"/>
      <c r="H576" s="251"/>
    </row>
    <row r="577">
      <c r="A577" s="251"/>
      <c r="B577" s="251"/>
      <c r="C577" s="251"/>
      <c r="D577" s="251"/>
      <c r="E577" s="251"/>
      <c r="F577" s="251"/>
      <c r="G577" s="251"/>
      <c r="H577" s="251"/>
    </row>
    <row r="578">
      <c r="A578" s="251"/>
      <c r="B578" s="251"/>
      <c r="C578" s="251"/>
      <c r="D578" s="251"/>
      <c r="E578" s="251"/>
      <c r="F578" s="251"/>
      <c r="G578" s="251"/>
      <c r="H578" s="251"/>
    </row>
    <row r="579">
      <c r="A579" s="251"/>
      <c r="B579" s="251"/>
      <c r="C579" s="251"/>
      <c r="D579" s="251"/>
      <c r="E579" s="251"/>
      <c r="F579" s="251"/>
      <c r="G579" s="251"/>
      <c r="H579" s="251"/>
    </row>
    <row r="580">
      <c r="A580" s="251"/>
      <c r="B580" s="251"/>
      <c r="C580" s="251"/>
      <c r="D580" s="251"/>
      <c r="E580" s="251"/>
      <c r="F580" s="251"/>
      <c r="G580" s="251"/>
      <c r="H580" s="251"/>
    </row>
    <row r="581">
      <c r="A581" s="251"/>
      <c r="B581" s="251"/>
      <c r="C581" s="251"/>
      <c r="D581" s="251"/>
      <c r="E581" s="251"/>
      <c r="F581" s="251"/>
      <c r="G581" s="251"/>
      <c r="H581" s="251"/>
    </row>
    <row r="582">
      <c r="A582" s="251"/>
      <c r="B582" s="251"/>
      <c r="C582" s="251"/>
      <c r="D582" s="251"/>
      <c r="E582" s="251"/>
      <c r="F582" s="251"/>
      <c r="G582" s="251"/>
      <c r="H582" s="251"/>
    </row>
    <row r="583">
      <c r="A583" s="251"/>
      <c r="B583" s="251"/>
      <c r="C583" s="251"/>
      <c r="D583" s="251"/>
      <c r="E583" s="251"/>
      <c r="F583" s="251"/>
      <c r="G583" s="251"/>
      <c r="H583" s="251"/>
    </row>
    <row r="584">
      <c r="A584" s="251"/>
      <c r="B584" s="251"/>
      <c r="C584" s="251"/>
      <c r="D584" s="251"/>
      <c r="E584" s="251"/>
      <c r="F584" s="251"/>
      <c r="G584" s="251"/>
      <c r="H584" s="251"/>
    </row>
    <row r="585">
      <c r="A585" s="251"/>
      <c r="B585" s="251"/>
      <c r="C585" s="251"/>
      <c r="D585" s="251"/>
      <c r="E585" s="251"/>
      <c r="F585" s="251"/>
      <c r="G585" s="251"/>
      <c r="H585" s="251"/>
    </row>
    <row r="586">
      <c r="A586" s="251"/>
      <c r="B586" s="251"/>
      <c r="C586" s="251"/>
      <c r="D586" s="251"/>
      <c r="E586" s="251"/>
      <c r="F586" s="251"/>
      <c r="G586" s="251"/>
      <c r="H586" s="251"/>
    </row>
    <row r="587">
      <c r="A587" s="251"/>
      <c r="B587" s="251"/>
      <c r="C587" s="251"/>
      <c r="D587" s="251"/>
      <c r="E587" s="251"/>
      <c r="F587" s="251"/>
      <c r="G587" s="251"/>
      <c r="H587" s="251"/>
    </row>
    <row r="588">
      <c r="A588" s="251"/>
      <c r="B588" s="251"/>
      <c r="C588" s="251"/>
      <c r="D588" s="251"/>
      <c r="E588" s="251"/>
      <c r="F588" s="251"/>
      <c r="G588" s="251"/>
      <c r="H588" s="251"/>
    </row>
    <row r="589">
      <c r="A589" s="251"/>
      <c r="B589" s="251"/>
      <c r="C589" s="251"/>
      <c r="D589" s="251"/>
      <c r="E589" s="251"/>
      <c r="F589" s="251"/>
      <c r="G589" s="251"/>
      <c r="H589" s="251"/>
    </row>
    <row r="590">
      <c r="A590" s="251"/>
      <c r="B590" s="251"/>
      <c r="C590" s="251"/>
      <c r="D590" s="251"/>
      <c r="E590" s="251"/>
      <c r="F590" s="251"/>
      <c r="G590" s="251"/>
      <c r="H590" s="251"/>
    </row>
    <row r="591">
      <c r="A591" s="251"/>
      <c r="B591" s="251"/>
      <c r="C591" s="251"/>
      <c r="D591" s="251"/>
      <c r="E591" s="251"/>
      <c r="F591" s="251"/>
      <c r="G591" s="251"/>
      <c r="H591" s="251"/>
    </row>
    <row r="592">
      <c r="A592" s="251"/>
      <c r="B592" s="251"/>
      <c r="C592" s="251"/>
      <c r="D592" s="251"/>
      <c r="E592" s="251"/>
      <c r="F592" s="251"/>
      <c r="G592" s="251"/>
      <c r="H592" s="251"/>
    </row>
    <row r="593">
      <c r="A593" s="251"/>
      <c r="B593" s="251"/>
      <c r="C593" s="251"/>
      <c r="D593" s="251"/>
      <c r="E593" s="251"/>
      <c r="F593" s="251"/>
      <c r="G593" s="251"/>
      <c r="H593" s="251"/>
    </row>
    <row r="594">
      <c r="A594" s="251"/>
      <c r="B594" s="251"/>
      <c r="C594" s="251"/>
      <c r="D594" s="251"/>
      <c r="E594" s="251"/>
      <c r="F594" s="251"/>
      <c r="G594" s="251"/>
      <c r="H594" s="251"/>
    </row>
    <row r="595">
      <c r="A595" s="251"/>
      <c r="B595" s="251"/>
      <c r="C595" s="251"/>
      <c r="D595" s="251"/>
      <c r="E595" s="251"/>
      <c r="F595" s="251"/>
      <c r="G595" s="251"/>
      <c r="H595" s="251"/>
    </row>
    <row r="596">
      <c r="A596" s="251"/>
      <c r="B596" s="251"/>
      <c r="C596" s="251"/>
      <c r="D596" s="251"/>
      <c r="E596" s="251"/>
      <c r="F596" s="251"/>
      <c r="G596" s="251"/>
      <c r="H596" s="251"/>
    </row>
    <row r="597">
      <c r="A597" s="251"/>
      <c r="B597" s="251"/>
      <c r="C597" s="251"/>
      <c r="D597" s="251"/>
      <c r="E597" s="251"/>
      <c r="F597" s="251"/>
      <c r="G597" s="251"/>
      <c r="H597" s="251"/>
    </row>
    <row r="598">
      <c r="A598" s="251"/>
      <c r="B598" s="251"/>
      <c r="C598" s="251"/>
      <c r="D598" s="251"/>
      <c r="E598" s="251"/>
      <c r="F598" s="251"/>
      <c r="G598" s="251"/>
      <c r="H598" s="251"/>
    </row>
    <row r="599">
      <c r="A599" s="251"/>
      <c r="B599" s="251"/>
      <c r="C599" s="251"/>
      <c r="D599" s="251"/>
      <c r="E599" s="251"/>
      <c r="F599" s="251"/>
      <c r="G599" s="251"/>
      <c r="H599" s="251"/>
    </row>
    <row r="600">
      <c r="A600" s="251"/>
      <c r="B600" s="251"/>
      <c r="C600" s="251"/>
      <c r="D600" s="251"/>
      <c r="E600" s="251"/>
      <c r="F600" s="251"/>
      <c r="G600" s="251"/>
      <c r="H600" s="251"/>
    </row>
    <row r="601">
      <c r="A601" s="251"/>
      <c r="B601" s="251"/>
      <c r="C601" s="251"/>
      <c r="D601" s="251"/>
      <c r="E601" s="251"/>
      <c r="F601" s="251"/>
      <c r="G601" s="251"/>
      <c r="H601" s="251"/>
    </row>
    <row r="602">
      <c r="A602" s="251"/>
      <c r="B602" s="251"/>
      <c r="C602" s="251"/>
      <c r="D602" s="251"/>
      <c r="E602" s="251"/>
      <c r="F602" s="251"/>
      <c r="G602" s="251"/>
      <c r="H602" s="251"/>
    </row>
    <row r="603">
      <c r="A603" s="251"/>
      <c r="B603" s="251"/>
      <c r="C603" s="251"/>
      <c r="D603" s="251"/>
      <c r="E603" s="251"/>
      <c r="F603" s="251"/>
      <c r="G603" s="251"/>
      <c r="H603" s="251"/>
    </row>
    <row r="604">
      <c r="A604" s="251"/>
      <c r="B604" s="251"/>
      <c r="C604" s="251"/>
      <c r="D604" s="251"/>
      <c r="E604" s="251"/>
      <c r="F604" s="251"/>
      <c r="G604" s="251"/>
      <c r="H604" s="251"/>
    </row>
    <row r="605">
      <c r="A605" s="251"/>
      <c r="B605" s="251"/>
      <c r="C605" s="251"/>
      <c r="D605" s="251"/>
      <c r="E605" s="251"/>
      <c r="F605" s="251"/>
      <c r="G605" s="251"/>
      <c r="H605" s="251"/>
    </row>
    <row r="606">
      <c r="A606" s="251"/>
      <c r="B606" s="251"/>
      <c r="C606" s="251"/>
      <c r="D606" s="251"/>
      <c r="E606" s="251"/>
      <c r="F606" s="251"/>
      <c r="G606" s="251"/>
      <c r="H606" s="251"/>
    </row>
    <row r="607">
      <c r="A607" s="251"/>
      <c r="B607" s="251"/>
      <c r="C607" s="251"/>
      <c r="D607" s="251"/>
      <c r="E607" s="251"/>
      <c r="F607" s="251"/>
      <c r="G607" s="251"/>
      <c r="H607" s="251"/>
    </row>
    <row r="608">
      <c r="A608" s="251"/>
      <c r="B608" s="251"/>
      <c r="C608" s="251"/>
      <c r="D608" s="251"/>
      <c r="E608" s="251"/>
      <c r="F608" s="251"/>
      <c r="G608" s="251"/>
      <c r="H608" s="251"/>
    </row>
    <row r="609">
      <c r="A609" s="251"/>
      <c r="B609" s="251"/>
      <c r="C609" s="251"/>
      <c r="D609" s="251"/>
      <c r="E609" s="251"/>
      <c r="F609" s="251"/>
      <c r="G609" s="251"/>
      <c r="H609" s="251"/>
    </row>
    <row r="610">
      <c r="A610" s="251"/>
      <c r="B610" s="251"/>
      <c r="C610" s="251"/>
      <c r="D610" s="251"/>
      <c r="E610" s="251"/>
      <c r="F610" s="251"/>
      <c r="G610" s="251"/>
      <c r="H610" s="251"/>
    </row>
    <row r="611">
      <c r="A611" s="251"/>
      <c r="B611" s="251"/>
      <c r="C611" s="251"/>
      <c r="D611" s="251"/>
      <c r="E611" s="251"/>
      <c r="F611" s="251"/>
      <c r="G611" s="251"/>
      <c r="H611" s="251"/>
    </row>
    <row r="612">
      <c r="A612" s="251"/>
      <c r="B612" s="251"/>
      <c r="C612" s="251"/>
      <c r="D612" s="251"/>
      <c r="E612" s="251"/>
      <c r="F612" s="251"/>
      <c r="G612" s="251"/>
      <c r="H612" s="251"/>
    </row>
    <row r="613">
      <c r="A613" s="251"/>
      <c r="B613" s="251"/>
      <c r="C613" s="251"/>
      <c r="D613" s="251"/>
      <c r="E613" s="251"/>
      <c r="F613" s="251"/>
      <c r="G613" s="251"/>
      <c r="H613" s="251"/>
    </row>
    <row r="614">
      <c r="A614" s="251"/>
      <c r="B614" s="251"/>
      <c r="C614" s="251"/>
      <c r="D614" s="251"/>
      <c r="E614" s="251"/>
      <c r="F614" s="251"/>
      <c r="G614" s="251"/>
      <c r="H614" s="251"/>
    </row>
    <row r="615">
      <c r="A615" s="251"/>
      <c r="B615" s="251"/>
      <c r="C615" s="251"/>
      <c r="D615" s="251"/>
      <c r="E615" s="251"/>
      <c r="F615" s="251"/>
      <c r="G615" s="251"/>
      <c r="H615" s="251"/>
    </row>
    <row r="616">
      <c r="A616" s="251"/>
      <c r="B616" s="251"/>
      <c r="C616" s="251"/>
      <c r="D616" s="251"/>
      <c r="E616" s="251"/>
      <c r="F616" s="251"/>
      <c r="G616" s="251"/>
      <c r="H616" s="251"/>
    </row>
    <row r="617">
      <c r="A617" s="251"/>
      <c r="B617" s="251"/>
      <c r="C617" s="251"/>
      <c r="D617" s="251"/>
      <c r="E617" s="251"/>
      <c r="F617" s="251"/>
      <c r="G617" s="251"/>
      <c r="H617" s="251"/>
    </row>
    <row r="618">
      <c r="A618" s="251"/>
      <c r="B618" s="251"/>
      <c r="C618" s="251"/>
      <c r="D618" s="251"/>
      <c r="E618" s="251"/>
      <c r="F618" s="251"/>
      <c r="G618" s="251"/>
      <c r="H618" s="251"/>
    </row>
    <row r="619">
      <c r="A619" s="251"/>
      <c r="B619" s="251"/>
      <c r="C619" s="251"/>
      <c r="D619" s="251"/>
      <c r="E619" s="251"/>
      <c r="F619" s="251"/>
      <c r="G619" s="251"/>
      <c r="H619" s="251"/>
    </row>
    <row r="620">
      <c r="A620" s="251"/>
      <c r="B620" s="251"/>
      <c r="C620" s="251"/>
      <c r="D620" s="251"/>
      <c r="E620" s="251"/>
      <c r="F620" s="251"/>
      <c r="G620" s="251"/>
      <c r="H620" s="251"/>
    </row>
    <row r="621">
      <c r="A621" s="251"/>
      <c r="B621" s="251"/>
      <c r="C621" s="251"/>
      <c r="D621" s="251"/>
      <c r="E621" s="251"/>
      <c r="F621" s="251"/>
      <c r="G621" s="251"/>
      <c r="H621" s="251"/>
    </row>
    <row r="622">
      <c r="A622" s="251"/>
      <c r="B622" s="251"/>
      <c r="C622" s="251"/>
      <c r="D622" s="251"/>
      <c r="E622" s="251"/>
      <c r="F622" s="251"/>
      <c r="G622" s="251"/>
      <c r="H622" s="251"/>
    </row>
    <row r="623">
      <c r="A623" s="251"/>
      <c r="B623" s="251"/>
      <c r="C623" s="251"/>
      <c r="D623" s="251"/>
      <c r="E623" s="251"/>
      <c r="F623" s="251"/>
      <c r="G623" s="251"/>
      <c r="H623" s="251"/>
    </row>
    <row r="624">
      <c r="A624" s="251"/>
      <c r="B624" s="251"/>
      <c r="C624" s="251"/>
      <c r="D624" s="251"/>
      <c r="E624" s="251"/>
      <c r="F624" s="251"/>
      <c r="G624" s="251"/>
      <c r="H624" s="251"/>
    </row>
    <row r="625">
      <c r="A625" s="251"/>
      <c r="B625" s="251"/>
      <c r="C625" s="251"/>
      <c r="D625" s="251"/>
      <c r="E625" s="251"/>
      <c r="F625" s="251"/>
      <c r="G625" s="251"/>
      <c r="H625" s="251"/>
    </row>
    <row r="626">
      <c r="A626" s="251"/>
      <c r="B626" s="251"/>
      <c r="C626" s="251"/>
      <c r="D626" s="251"/>
      <c r="E626" s="251"/>
      <c r="F626" s="251"/>
      <c r="G626" s="251"/>
      <c r="H626" s="251"/>
    </row>
    <row r="627">
      <c r="A627" s="251"/>
      <c r="B627" s="251"/>
      <c r="C627" s="251"/>
      <c r="D627" s="251"/>
      <c r="E627" s="251"/>
      <c r="F627" s="251"/>
      <c r="G627" s="251"/>
      <c r="H627" s="251"/>
    </row>
    <row r="628">
      <c r="A628" s="251"/>
      <c r="B628" s="251"/>
      <c r="C628" s="251"/>
      <c r="D628" s="251"/>
      <c r="E628" s="251"/>
      <c r="F628" s="251"/>
      <c r="G628" s="251"/>
      <c r="H628" s="251"/>
    </row>
    <row r="629">
      <c r="A629" s="251"/>
      <c r="B629" s="251"/>
      <c r="C629" s="251"/>
      <c r="D629" s="251"/>
      <c r="E629" s="251"/>
      <c r="F629" s="251"/>
      <c r="G629" s="251"/>
      <c r="H629" s="251"/>
    </row>
    <row r="630">
      <c r="A630" s="251"/>
      <c r="B630" s="251"/>
      <c r="C630" s="251"/>
      <c r="D630" s="251"/>
      <c r="E630" s="251"/>
      <c r="F630" s="251"/>
      <c r="G630" s="251"/>
      <c r="H630" s="251"/>
    </row>
    <row r="631">
      <c r="A631" s="251"/>
      <c r="B631" s="251"/>
      <c r="C631" s="251"/>
      <c r="D631" s="251"/>
      <c r="E631" s="251"/>
      <c r="F631" s="251"/>
      <c r="G631" s="251"/>
      <c r="H631" s="251"/>
    </row>
    <row r="632">
      <c r="A632" s="251"/>
      <c r="B632" s="251"/>
      <c r="C632" s="251"/>
      <c r="D632" s="251"/>
      <c r="E632" s="251"/>
      <c r="F632" s="251"/>
      <c r="G632" s="251"/>
      <c r="H632" s="251"/>
    </row>
    <row r="633">
      <c r="A633" s="251"/>
      <c r="B633" s="251"/>
      <c r="C633" s="251"/>
      <c r="D633" s="251"/>
      <c r="E633" s="251"/>
      <c r="F633" s="251"/>
      <c r="G633" s="251"/>
      <c r="H633" s="251"/>
    </row>
    <row r="634">
      <c r="A634" s="251"/>
      <c r="B634" s="251"/>
      <c r="C634" s="251"/>
      <c r="D634" s="251"/>
      <c r="E634" s="251"/>
      <c r="F634" s="251"/>
      <c r="G634" s="251"/>
      <c r="H634" s="251"/>
    </row>
    <row r="635">
      <c r="A635" s="251"/>
      <c r="B635" s="251"/>
      <c r="C635" s="251"/>
      <c r="D635" s="251"/>
      <c r="E635" s="251"/>
      <c r="F635" s="251"/>
      <c r="G635" s="251"/>
      <c r="H635" s="251"/>
    </row>
    <row r="636">
      <c r="A636" s="251"/>
      <c r="B636" s="251"/>
      <c r="C636" s="251"/>
      <c r="D636" s="251"/>
      <c r="E636" s="251"/>
      <c r="F636" s="251"/>
      <c r="G636" s="251"/>
      <c r="H636" s="251"/>
    </row>
    <row r="637">
      <c r="A637" s="251"/>
      <c r="B637" s="251"/>
      <c r="C637" s="251"/>
      <c r="D637" s="251"/>
      <c r="E637" s="251"/>
      <c r="F637" s="251"/>
      <c r="G637" s="251"/>
      <c r="H637" s="251"/>
    </row>
    <row r="638">
      <c r="A638" s="251"/>
      <c r="B638" s="251"/>
      <c r="C638" s="251"/>
      <c r="D638" s="251"/>
      <c r="E638" s="251"/>
      <c r="F638" s="251"/>
      <c r="G638" s="251"/>
      <c r="H638" s="251"/>
    </row>
    <row r="639">
      <c r="A639" s="251"/>
      <c r="B639" s="251"/>
      <c r="C639" s="251"/>
      <c r="D639" s="251"/>
      <c r="E639" s="251"/>
      <c r="F639" s="251"/>
      <c r="G639" s="251"/>
      <c r="H639" s="251"/>
    </row>
    <row r="640">
      <c r="A640" s="251"/>
      <c r="B640" s="251"/>
      <c r="C640" s="251"/>
      <c r="D640" s="251"/>
      <c r="E640" s="251"/>
      <c r="F640" s="251"/>
      <c r="G640" s="251"/>
      <c r="H640" s="251"/>
    </row>
    <row r="641">
      <c r="A641" s="251"/>
      <c r="B641" s="251"/>
      <c r="C641" s="251"/>
      <c r="D641" s="251"/>
      <c r="E641" s="251"/>
      <c r="F641" s="251"/>
      <c r="G641" s="251"/>
      <c r="H641" s="251"/>
    </row>
    <row r="642">
      <c r="A642" s="251"/>
      <c r="B642" s="251"/>
      <c r="C642" s="251"/>
      <c r="D642" s="251"/>
      <c r="E642" s="251"/>
      <c r="F642" s="251"/>
      <c r="G642" s="251"/>
      <c r="H642" s="251"/>
    </row>
    <row r="643">
      <c r="A643" s="251"/>
      <c r="B643" s="251"/>
      <c r="C643" s="251"/>
      <c r="D643" s="251"/>
      <c r="E643" s="251"/>
      <c r="F643" s="251"/>
      <c r="G643" s="251"/>
      <c r="H643" s="251"/>
    </row>
    <row r="644">
      <c r="A644" s="251"/>
      <c r="B644" s="251"/>
      <c r="C644" s="251"/>
      <c r="D644" s="251"/>
      <c r="E644" s="251"/>
      <c r="F644" s="251"/>
      <c r="G644" s="251"/>
      <c r="H644" s="251"/>
    </row>
    <row r="645">
      <c r="A645" s="251"/>
      <c r="B645" s="251"/>
      <c r="C645" s="251"/>
      <c r="D645" s="251"/>
      <c r="E645" s="251"/>
      <c r="F645" s="251"/>
      <c r="G645" s="251"/>
      <c r="H645" s="251"/>
    </row>
    <row r="646">
      <c r="A646" s="251"/>
      <c r="B646" s="251"/>
      <c r="C646" s="251"/>
      <c r="D646" s="251"/>
      <c r="E646" s="251"/>
      <c r="F646" s="251"/>
      <c r="G646" s="251"/>
      <c r="H646" s="251"/>
    </row>
    <row r="647">
      <c r="A647" s="251"/>
      <c r="B647" s="251"/>
      <c r="C647" s="251"/>
      <c r="D647" s="251"/>
      <c r="E647" s="251"/>
      <c r="F647" s="251"/>
      <c r="G647" s="251"/>
      <c r="H647" s="251"/>
    </row>
    <row r="648">
      <c r="A648" s="251"/>
      <c r="B648" s="251"/>
      <c r="C648" s="251"/>
      <c r="D648" s="251"/>
      <c r="E648" s="251"/>
      <c r="F648" s="251"/>
      <c r="G648" s="251"/>
      <c r="H648" s="251"/>
    </row>
    <row r="649">
      <c r="A649" s="251"/>
      <c r="B649" s="251"/>
      <c r="C649" s="251"/>
      <c r="D649" s="251"/>
      <c r="E649" s="251"/>
      <c r="F649" s="251"/>
      <c r="G649" s="251"/>
      <c r="H649" s="251"/>
    </row>
    <row r="650">
      <c r="A650" s="251"/>
      <c r="B650" s="251"/>
      <c r="C650" s="251"/>
      <c r="D650" s="251"/>
      <c r="E650" s="251"/>
      <c r="F650" s="251"/>
      <c r="G650" s="251"/>
      <c r="H650" s="251"/>
    </row>
    <row r="651">
      <c r="A651" s="251"/>
      <c r="B651" s="251"/>
      <c r="C651" s="251"/>
      <c r="D651" s="251"/>
      <c r="E651" s="251"/>
      <c r="F651" s="251"/>
      <c r="G651" s="251"/>
      <c r="H651" s="251"/>
    </row>
    <row r="652">
      <c r="A652" s="251"/>
      <c r="B652" s="251"/>
      <c r="C652" s="251"/>
      <c r="D652" s="251"/>
      <c r="E652" s="251"/>
      <c r="F652" s="251"/>
      <c r="G652" s="251"/>
      <c r="H652" s="251"/>
    </row>
    <row r="653">
      <c r="A653" s="251"/>
      <c r="B653" s="251"/>
      <c r="C653" s="251"/>
      <c r="D653" s="251"/>
      <c r="E653" s="251"/>
      <c r="F653" s="251"/>
      <c r="G653" s="251"/>
      <c r="H653" s="251"/>
    </row>
    <row r="654">
      <c r="A654" s="251"/>
      <c r="B654" s="251"/>
      <c r="C654" s="251"/>
      <c r="D654" s="251"/>
      <c r="E654" s="251"/>
      <c r="F654" s="251"/>
      <c r="G654" s="251"/>
      <c r="H654" s="251"/>
    </row>
    <row r="655">
      <c r="A655" s="251"/>
      <c r="B655" s="251"/>
      <c r="C655" s="251"/>
      <c r="D655" s="251"/>
      <c r="E655" s="251"/>
      <c r="F655" s="251"/>
      <c r="G655" s="251"/>
      <c r="H655" s="251"/>
    </row>
    <row r="656">
      <c r="A656" s="251"/>
      <c r="B656" s="251"/>
      <c r="C656" s="251"/>
      <c r="D656" s="251"/>
      <c r="E656" s="251"/>
      <c r="F656" s="251"/>
      <c r="G656" s="251"/>
      <c r="H656" s="251"/>
    </row>
    <row r="657">
      <c r="A657" s="251"/>
      <c r="B657" s="251"/>
      <c r="C657" s="251"/>
      <c r="D657" s="251"/>
      <c r="E657" s="251"/>
      <c r="F657" s="251"/>
      <c r="G657" s="251"/>
      <c r="H657" s="251"/>
    </row>
    <row r="658">
      <c r="A658" s="251"/>
      <c r="B658" s="251"/>
      <c r="C658" s="251"/>
      <c r="D658" s="251"/>
      <c r="E658" s="251"/>
      <c r="F658" s="251"/>
      <c r="G658" s="251"/>
      <c r="H658" s="251"/>
    </row>
    <row r="659">
      <c r="A659" s="251"/>
      <c r="B659" s="251"/>
      <c r="C659" s="251"/>
      <c r="D659" s="251"/>
      <c r="E659" s="251"/>
      <c r="F659" s="251"/>
      <c r="G659" s="251"/>
      <c r="H659" s="251"/>
    </row>
    <row r="660">
      <c r="A660" s="251"/>
      <c r="B660" s="251"/>
      <c r="C660" s="251"/>
      <c r="D660" s="251"/>
      <c r="E660" s="251"/>
      <c r="F660" s="251"/>
      <c r="G660" s="251"/>
      <c r="H660" s="251"/>
    </row>
    <row r="661">
      <c r="A661" s="251"/>
      <c r="B661" s="251"/>
      <c r="C661" s="251"/>
      <c r="D661" s="251"/>
      <c r="E661" s="251"/>
      <c r="F661" s="251"/>
      <c r="G661" s="251"/>
      <c r="H661" s="251"/>
    </row>
    <row r="662">
      <c r="A662" s="251"/>
      <c r="B662" s="251"/>
      <c r="C662" s="251"/>
      <c r="D662" s="251"/>
      <c r="E662" s="251"/>
      <c r="F662" s="251"/>
      <c r="G662" s="251"/>
      <c r="H662" s="251"/>
    </row>
    <row r="663">
      <c r="A663" s="251"/>
      <c r="B663" s="251"/>
      <c r="C663" s="251"/>
      <c r="D663" s="251"/>
      <c r="E663" s="251"/>
      <c r="F663" s="251"/>
      <c r="G663" s="251"/>
      <c r="H663" s="251"/>
    </row>
    <row r="664">
      <c r="A664" s="251"/>
      <c r="B664" s="251"/>
      <c r="C664" s="251"/>
      <c r="D664" s="251"/>
      <c r="E664" s="251"/>
      <c r="F664" s="251"/>
      <c r="G664" s="251"/>
      <c r="H664" s="251"/>
    </row>
    <row r="665">
      <c r="A665" s="251"/>
      <c r="B665" s="251"/>
      <c r="C665" s="251"/>
      <c r="D665" s="251"/>
      <c r="E665" s="251"/>
      <c r="F665" s="251"/>
      <c r="G665" s="251"/>
      <c r="H665" s="251"/>
    </row>
    <row r="666">
      <c r="A666" s="251"/>
      <c r="B666" s="251"/>
      <c r="C666" s="251"/>
      <c r="D666" s="251"/>
      <c r="E666" s="251"/>
      <c r="F666" s="251"/>
      <c r="G666" s="251"/>
      <c r="H666" s="251"/>
    </row>
    <row r="667">
      <c r="A667" s="251"/>
      <c r="B667" s="251"/>
      <c r="C667" s="251"/>
      <c r="D667" s="251"/>
      <c r="E667" s="251"/>
      <c r="F667" s="251"/>
      <c r="G667" s="251"/>
      <c r="H667" s="251"/>
    </row>
    <row r="668">
      <c r="A668" s="251"/>
      <c r="B668" s="251"/>
      <c r="C668" s="251"/>
      <c r="D668" s="251"/>
      <c r="E668" s="251"/>
      <c r="F668" s="251"/>
      <c r="G668" s="251"/>
      <c r="H668" s="251"/>
    </row>
    <row r="669">
      <c r="A669" s="251"/>
      <c r="B669" s="251"/>
      <c r="C669" s="251"/>
      <c r="D669" s="251"/>
      <c r="E669" s="251"/>
      <c r="F669" s="251"/>
      <c r="G669" s="251"/>
      <c r="H669" s="251"/>
    </row>
    <row r="670">
      <c r="A670" s="251"/>
      <c r="B670" s="251"/>
      <c r="C670" s="251"/>
      <c r="D670" s="251"/>
      <c r="E670" s="251"/>
      <c r="F670" s="251"/>
      <c r="G670" s="251"/>
      <c r="H670" s="251"/>
    </row>
    <row r="671">
      <c r="A671" s="251"/>
      <c r="B671" s="251"/>
      <c r="C671" s="251"/>
      <c r="D671" s="251"/>
      <c r="E671" s="251"/>
      <c r="F671" s="251"/>
      <c r="G671" s="251"/>
      <c r="H671" s="251"/>
    </row>
    <row r="672">
      <c r="A672" s="251"/>
      <c r="B672" s="251"/>
      <c r="C672" s="251"/>
      <c r="D672" s="251"/>
      <c r="E672" s="251"/>
      <c r="F672" s="251"/>
      <c r="G672" s="251"/>
      <c r="H672" s="251"/>
    </row>
    <row r="673">
      <c r="A673" s="251"/>
      <c r="B673" s="251"/>
      <c r="C673" s="251"/>
      <c r="D673" s="251"/>
      <c r="E673" s="251"/>
      <c r="F673" s="251"/>
      <c r="G673" s="251"/>
      <c r="H673" s="251"/>
    </row>
    <row r="674">
      <c r="A674" s="251"/>
      <c r="B674" s="251"/>
      <c r="C674" s="251"/>
      <c r="D674" s="251"/>
      <c r="E674" s="251"/>
      <c r="F674" s="251"/>
      <c r="G674" s="251"/>
      <c r="H674" s="251"/>
    </row>
    <row r="675">
      <c r="A675" s="251"/>
      <c r="B675" s="251"/>
      <c r="C675" s="251"/>
      <c r="D675" s="251"/>
      <c r="E675" s="251"/>
      <c r="F675" s="251"/>
      <c r="G675" s="251"/>
      <c r="H675" s="251"/>
    </row>
    <row r="676">
      <c r="A676" s="251"/>
      <c r="B676" s="251"/>
      <c r="C676" s="251"/>
      <c r="D676" s="251"/>
      <c r="E676" s="251"/>
      <c r="F676" s="251"/>
      <c r="G676" s="251"/>
      <c r="H676" s="251"/>
    </row>
    <row r="677">
      <c r="A677" s="251"/>
      <c r="B677" s="251"/>
      <c r="C677" s="251"/>
      <c r="D677" s="251"/>
      <c r="E677" s="251"/>
      <c r="F677" s="251"/>
      <c r="G677" s="251"/>
      <c r="H677" s="251"/>
    </row>
    <row r="678">
      <c r="A678" s="251"/>
      <c r="B678" s="251"/>
      <c r="C678" s="251"/>
      <c r="D678" s="251"/>
      <c r="E678" s="251"/>
      <c r="F678" s="251"/>
      <c r="G678" s="251"/>
      <c r="H678" s="251"/>
    </row>
    <row r="679">
      <c r="A679" s="251"/>
      <c r="B679" s="251"/>
      <c r="C679" s="251"/>
      <c r="D679" s="251"/>
      <c r="E679" s="251"/>
      <c r="F679" s="251"/>
      <c r="G679" s="251"/>
      <c r="H679" s="251"/>
    </row>
    <row r="680">
      <c r="A680" s="251"/>
      <c r="B680" s="251"/>
      <c r="C680" s="251"/>
      <c r="D680" s="251"/>
      <c r="E680" s="251"/>
      <c r="F680" s="251"/>
      <c r="G680" s="251"/>
      <c r="H680" s="251"/>
    </row>
    <row r="681">
      <c r="A681" s="251"/>
      <c r="B681" s="251"/>
      <c r="C681" s="251"/>
      <c r="D681" s="251"/>
      <c r="E681" s="251"/>
      <c r="F681" s="251"/>
      <c r="G681" s="251"/>
      <c r="H681" s="251"/>
    </row>
    <row r="682">
      <c r="A682" s="251"/>
      <c r="B682" s="251"/>
      <c r="C682" s="251"/>
      <c r="D682" s="251"/>
      <c r="E682" s="251"/>
      <c r="F682" s="251"/>
      <c r="G682" s="251"/>
      <c r="H682" s="251"/>
    </row>
    <row r="683">
      <c r="A683" s="251"/>
      <c r="B683" s="251"/>
      <c r="C683" s="251"/>
      <c r="D683" s="251"/>
      <c r="E683" s="251"/>
      <c r="F683" s="251"/>
      <c r="G683" s="251"/>
      <c r="H683" s="251"/>
    </row>
    <row r="684">
      <c r="A684" s="251"/>
      <c r="B684" s="251"/>
      <c r="C684" s="251"/>
      <c r="D684" s="251"/>
      <c r="E684" s="251"/>
      <c r="F684" s="251"/>
      <c r="G684" s="251"/>
      <c r="H684" s="251"/>
    </row>
    <row r="685">
      <c r="A685" s="251"/>
      <c r="B685" s="251"/>
      <c r="C685" s="251"/>
      <c r="D685" s="251"/>
      <c r="E685" s="251"/>
      <c r="F685" s="251"/>
      <c r="G685" s="251"/>
      <c r="H685" s="251"/>
    </row>
    <row r="686">
      <c r="A686" s="251"/>
      <c r="B686" s="251"/>
      <c r="C686" s="251"/>
      <c r="D686" s="251"/>
      <c r="E686" s="251"/>
      <c r="F686" s="251"/>
      <c r="G686" s="251"/>
      <c r="H686" s="251"/>
    </row>
    <row r="687">
      <c r="A687" s="251"/>
      <c r="B687" s="251"/>
      <c r="C687" s="251"/>
      <c r="D687" s="251"/>
      <c r="E687" s="251"/>
      <c r="F687" s="251"/>
      <c r="G687" s="251"/>
      <c r="H687" s="251"/>
    </row>
    <row r="688">
      <c r="A688" s="251"/>
      <c r="B688" s="251"/>
      <c r="C688" s="251"/>
      <c r="D688" s="251"/>
      <c r="E688" s="251"/>
      <c r="F688" s="251"/>
      <c r="G688" s="251"/>
      <c r="H688" s="251"/>
    </row>
    <row r="689">
      <c r="A689" s="251"/>
      <c r="B689" s="251"/>
      <c r="C689" s="251"/>
      <c r="D689" s="251"/>
      <c r="E689" s="251"/>
      <c r="F689" s="251"/>
      <c r="G689" s="251"/>
      <c r="H689" s="251"/>
    </row>
    <row r="690">
      <c r="A690" s="251"/>
      <c r="B690" s="251"/>
      <c r="C690" s="251"/>
      <c r="D690" s="251"/>
      <c r="E690" s="251"/>
      <c r="F690" s="251"/>
      <c r="G690" s="251"/>
      <c r="H690" s="251"/>
    </row>
    <row r="691">
      <c r="A691" s="251"/>
      <c r="B691" s="251"/>
      <c r="C691" s="251"/>
      <c r="D691" s="251"/>
      <c r="E691" s="251"/>
      <c r="F691" s="251"/>
      <c r="G691" s="251"/>
      <c r="H691" s="251"/>
    </row>
    <row r="692">
      <c r="A692" s="251"/>
      <c r="B692" s="251"/>
      <c r="C692" s="251"/>
      <c r="D692" s="251"/>
      <c r="E692" s="251"/>
      <c r="F692" s="251"/>
      <c r="G692" s="251"/>
      <c r="H692" s="251"/>
    </row>
    <row r="693">
      <c r="A693" s="251"/>
      <c r="B693" s="251"/>
      <c r="C693" s="251"/>
      <c r="D693" s="251"/>
      <c r="E693" s="251"/>
      <c r="F693" s="251"/>
      <c r="G693" s="251"/>
      <c r="H693" s="251"/>
    </row>
    <row r="694">
      <c r="A694" s="251"/>
      <c r="B694" s="251"/>
      <c r="C694" s="251"/>
      <c r="D694" s="251"/>
      <c r="E694" s="251"/>
      <c r="F694" s="251"/>
      <c r="G694" s="251"/>
      <c r="H694" s="251"/>
    </row>
    <row r="695">
      <c r="A695" s="251"/>
      <c r="B695" s="251"/>
      <c r="C695" s="251"/>
      <c r="D695" s="251"/>
      <c r="E695" s="251"/>
      <c r="F695" s="251"/>
      <c r="G695" s="251"/>
      <c r="H695" s="251"/>
    </row>
    <row r="696">
      <c r="A696" s="251"/>
      <c r="B696" s="251"/>
      <c r="C696" s="251"/>
      <c r="D696" s="251"/>
      <c r="E696" s="251"/>
      <c r="F696" s="251"/>
      <c r="G696" s="251"/>
      <c r="H696" s="251"/>
    </row>
    <row r="697">
      <c r="A697" s="251"/>
      <c r="B697" s="251"/>
      <c r="C697" s="251"/>
      <c r="D697" s="251"/>
      <c r="E697" s="251"/>
      <c r="F697" s="251"/>
      <c r="G697" s="251"/>
      <c r="H697" s="251"/>
    </row>
    <row r="698">
      <c r="A698" s="251"/>
      <c r="B698" s="251"/>
      <c r="C698" s="251"/>
      <c r="D698" s="251"/>
      <c r="E698" s="251"/>
      <c r="F698" s="251"/>
      <c r="G698" s="251"/>
      <c r="H698" s="251"/>
    </row>
    <row r="699">
      <c r="A699" s="251"/>
      <c r="B699" s="251"/>
      <c r="C699" s="251"/>
      <c r="D699" s="251"/>
      <c r="E699" s="251"/>
      <c r="F699" s="251"/>
      <c r="G699" s="251"/>
      <c r="H699" s="251"/>
    </row>
    <row r="700">
      <c r="A700" s="251"/>
      <c r="B700" s="251"/>
      <c r="C700" s="251"/>
      <c r="D700" s="251"/>
      <c r="E700" s="251"/>
      <c r="F700" s="251"/>
      <c r="G700" s="251"/>
      <c r="H700" s="251"/>
    </row>
    <row r="701">
      <c r="A701" s="251"/>
      <c r="B701" s="251"/>
      <c r="C701" s="251"/>
      <c r="D701" s="251"/>
      <c r="E701" s="251"/>
      <c r="F701" s="251"/>
      <c r="G701" s="251"/>
      <c r="H701" s="251"/>
    </row>
    <row r="702">
      <c r="A702" s="251"/>
      <c r="B702" s="251"/>
      <c r="C702" s="251"/>
      <c r="D702" s="251"/>
      <c r="E702" s="251"/>
      <c r="F702" s="251"/>
      <c r="G702" s="251"/>
      <c r="H702" s="251"/>
    </row>
    <row r="703">
      <c r="A703" s="251"/>
      <c r="B703" s="251"/>
      <c r="C703" s="251"/>
      <c r="D703" s="251"/>
      <c r="E703" s="251"/>
      <c r="F703" s="251"/>
      <c r="G703" s="251"/>
      <c r="H703" s="251"/>
    </row>
    <row r="704">
      <c r="A704" s="251"/>
      <c r="B704" s="251"/>
      <c r="C704" s="251"/>
      <c r="D704" s="251"/>
      <c r="E704" s="251"/>
      <c r="F704" s="251"/>
      <c r="G704" s="251"/>
      <c r="H704" s="251"/>
    </row>
    <row r="705">
      <c r="A705" s="251"/>
      <c r="B705" s="251"/>
      <c r="C705" s="251"/>
      <c r="D705" s="251"/>
      <c r="E705" s="251"/>
      <c r="F705" s="251"/>
      <c r="G705" s="251"/>
      <c r="H705" s="251"/>
    </row>
    <row r="706">
      <c r="A706" s="251"/>
      <c r="B706" s="251"/>
      <c r="C706" s="251"/>
      <c r="D706" s="251"/>
      <c r="E706" s="251"/>
      <c r="F706" s="251"/>
      <c r="G706" s="251"/>
      <c r="H706" s="251"/>
    </row>
    <row r="707">
      <c r="A707" s="251"/>
      <c r="B707" s="251"/>
      <c r="C707" s="251"/>
      <c r="D707" s="251"/>
      <c r="E707" s="251"/>
      <c r="F707" s="251"/>
      <c r="G707" s="251"/>
      <c r="H707" s="251"/>
    </row>
    <row r="708">
      <c r="A708" s="251"/>
      <c r="B708" s="251"/>
      <c r="C708" s="251"/>
      <c r="D708" s="251"/>
      <c r="E708" s="251"/>
      <c r="F708" s="251"/>
      <c r="G708" s="251"/>
      <c r="H708" s="251"/>
    </row>
    <row r="709">
      <c r="A709" s="251"/>
      <c r="B709" s="251"/>
      <c r="C709" s="251"/>
      <c r="D709" s="251"/>
      <c r="E709" s="251"/>
      <c r="F709" s="251"/>
      <c r="G709" s="251"/>
      <c r="H709" s="251"/>
    </row>
    <row r="710">
      <c r="A710" s="251"/>
      <c r="B710" s="251"/>
      <c r="C710" s="251"/>
      <c r="D710" s="251"/>
      <c r="E710" s="251"/>
      <c r="F710" s="251"/>
      <c r="G710" s="251"/>
      <c r="H710" s="251"/>
    </row>
    <row r="711">
      <c r="A711" s="251"/>
      <c r="B711" s="251"/>
      <c r="C711" s="251"/>
      <c r="D711" s="251"/>
      <c r="E711" s="251"/>
      <c r="F711" s="251"/>
      <c r="G711" s="251"/>
      <c r="H711" s="251"/>
    </row>
    <row r="712">
      <c r="A712" s="251"/>
      <c r="B712" s="251"/>
      <c r="C712" s="251"/>
      <c r="D712" s="251"/>
      <c r="E712" s="251"/>
      <c r="F712" s="251"/>
      <c r="G712" s="251"/>
      <c r="H712" s="251"/>
    </row>
    <row r="713">
      <c r="A713" s="251"/>
      <c r="B713" s="251"/>
      <c r="C713" s="251"/>
      <c r="D713" s="251"/>
      <c r="E713" s="251"/>
      <c r="F713" s="251"/>
      <c r="G713" s="251"/>
      <c r="H713" s="251"/>
    </row>
    <row r="714">
      <c r="A714" s="251"/>
      <c r="B714" s="251"/>
      <c r="C714" s="251"/>
      <c r="D714" s="251"/>
      <c r="E714" s="251"/>
      <c r="F714" s="251"/>
      <c r="G714" s="251"/>
      <c r="H714" s="251"/>
    </row>
    <row r="715">
      <c r="A715" s="251"/>
      <c r="B715" s="251"/>
      <c r="C715" s="251"/>
      <c r="D715" s="251"/>
      <c r="E715" s="251"/>
      <c r="F715" s="251"/>
      <c r="G715" s="251"/>
      <c r="H715" s="251"/>
    </row>
    <row r="716">
      <c r="A716" s="251"/>
      <c r="B716" s="251"/>
      <c r="C716" s="251"/>
      <c r="D716" s="251"/>
      <c r="E716" s="251"/>
      <c r="F716" s="251"/>
      <c r="G716" s="251"/>
      <c r="H716" s="251"/>
    </row>
    <row r="717">
      <c r="A717" s="251"/>
      <c r="B717" s="251"/>
      <c r="C717" s="251"/>
      <c r="D717" s="251"/>
      <c r="E717" s="251"/>
      <c r="F717" s="251"/>
      <c r="G717" s="251"/>
      <c r="H717" s="251"/>
    </row>
    <row r="718">
      <c r="A718" s="251"/>
      <c r="B718" s="251"/>
      <c r="C718" s="251"/>
      <c r="D718" s="251"/>
      <c r="E718" s="251"/>
      <c r="F718" s="251"/>
      <c r="G718" s="251"/>
      <c r="H718" s="251"/>
    </row>
    <row r="719">
      <c r="A719" s="251"/>
      <c r="B719" s="251"/>
      <c r="C719" s="251"/>
      <c r="D719" s="251"/>
      <c r="E719" s="251"/>
      <c r="F719" s="251"/>
      <c r="G719" s="251"/>
      <c r="H719" s="251"/>
    </row>
    <row r="720">
      <c r="A720" s="251"/>
      <c r="B720" s="251"/>
      <c r="C720" s="251"/>
      <c r="D720" s="251"/>
      <c r="E720" s="251"/>
      <c r="F720" s="251"/>
      <c r="G720" s="251"/>
      <c r="H720" s="251"/>
    </row>
    <row r="721">
      <c r="A721" s="251"/>
      <c r="B721" s="251"/>
      <c r="C721" s="251"/>
      <c r="D721" s="251"/>
      <c r="E721" s="251"/>
      <c r="F721" s="251"/>
      <c r="G721" s="251"/>
      <c r="H721" s="251"/>
    </row>
    <row r="722">
      <c r="A722" s="251"/>
      <c r="B722" s="251"/>
      <c r="C722" s="251"/>
      <c r="D722" s="251"/>
      <c r="E722" s="251"/>
      <c r="F722" s="251"/>
      <c r="G722" s="251"/>
      <c r="H722" s="251"/>
    </row>
    <row r="723">
      <c r="A723" s="251"/>
      <c r="B723" s="251"/>
      <c r="C723" s="251"/>
      <c r="D723" s="251"/>
      <c r="E723" s="251"/>
      <c r="F723" s="251"/>
      <c r="G723" s="251"/>
      <c r="H723" s="251"/>
    </row>
    <row r="724">
      <c r="A724" s="251"/>
      <c r="B724" s="251"/>
      <c r="C724" s="251"/>
      <c r="D724" s="251"/>
      <c r="E724" s="251"/>
      <c r="F724" s="251"/>
      <c r="G724" s="251"/>
      <c r="H724" s="251"/>
    </row>
    <row r="725">
      <c r="A725" s="251"/>
      <c r="B725" s="251"/>
      <c r="C725" s="251"/>
      <c r="D725" s="251"/>
      <c r="E725" s="251"/>
      <c r="F725" s="251"/>
      <c r="G725" s="251"/>
      <c r="H725" s="251"/>
    </row>
    <row r="726">
      <c r="A726" s="251"/>
      <c r="B726" s="251"/>
      <c r="C726" s="251"/>
      <c r="D726" s="251"/>
      <c r="E726" s="251"/>
      <c r="F726" s="251"/>
      <c r="G726" s="251"/>
      <c r="H726" s="251"/>
    </row>
    <row r="727">
      <c r="A727" s="251"/>
      <c r="B727" s="251"/>
      <c r="C727" s="251"/>
      <c r="D727" s="251"/>
      <c r="E727" s="251"/>
      <c r="F727" s="251"/>
      <c r="G727" s="251"/>
      <c r="H727" s="251"/>
    </row>
    <row r="728">
      <c r="A728" s="251"/>
      <c r="B728" s="251"/>
      <c r="C728" s="251"/>
      <c r="D728" s="251"/>
      <c r="E728" s="251"/>
      <c r="F728" s="251"/>
      <c r="G728" s="251"/>
      <c r="H728" s="251"/>
    </row>
    <row r="729">
      <c r="A729" s="251"/>
      <c r="B729" s="251"/>
      <c r="C729" s="251"/>
      <c r="D729" s="251"/>
      <c r="E729" s="251"/>
      <c r="F729" s="251"/>
      <c r="G729" s="251"/>
      <c r="H729" s="251"/>
    </row>
    <row r="730">
      <c r="A730" s="251"/>
      <c r="B730" s="251"/>
      <c r="C730" s="251"/>
      <c r="D730" s="251"/>
      <c r="E730" s="251"/>
      <c r="F730" s="251"/>
      <c r="G730" s="251"/>
      <c r="H730" s="251"/>
    </row>
    <row r="731">
      <c r="A731" s="251"/>
      <c r="B731" s="251"/>
      <c r="C731" s="251"/>
      <c r="D731" s="251"/>
      <c r="E731" s="251"/>
      <c r="F731" s="251"/>
      <c r="G731" s="251"/>
      <c r="H731" s="251"/>
    </row>
    <row r="732">
      <c r="A732" s="251"/>
      <c r="B732" s="251"/>
      <c r="C732" s="251"/>
      <c r="D732" s="251"/>
      <c r="E732" s="251"/>
      <c r="F732" s="251"/>
      <c r="G732" s="251"/>
      <c r="H732" s="251"/>
    </row>
    <row r="733">
      <c r="A733" s="251"/>
      <c r="B733" s="251"/>
      <c r="C733" s="251"/>
      <c r="D733" s="251"/>
      <c r="E733" s="251"/>
      <c r="F733" s="251"/>
      <c r="G733" s="251"/>
      <c r="H733" s="251"/>
    </row>
    <row r="734">
      <c r="A734" s="251"/>
      <c r="B734" s="251"/>
      <c r="C734" s="251"/>
      <c r="D734" s="251"/>
      <c r="E734" s="251"/>
      <c r="F734" s="251"/>
      <c r="G734" s="251"/>
      <c r="H734" s="251"/>
    </row>
    <row r="735">
      <c r="A735" s="251"/>
      <c r="B735" s="251"/>
      <c r="C735" s="251"/>
      <c r="D735" s="251"/>
      <c r="E735" s="251"/>
      <c r="F735" s="251"/>
      <c r="G735" s="251"/>
      <c r="H735" s="251"/>
    </row>
    <row r="736">
      <c r="A736" s="251"/>
      <c r="B736" s="251"/>
      <c r="C736" s="251"/>
      <c r="D736" s="251"/>
      <c r="E736" s="251"/>
      <c r="F736" s="251"/>
      <c r="G736" s="251"/>
      <c r="H736" s="251"/>
    </row>
    <row r="737">
      <c r="A737" s="254"/>
      <c r="B737" s="254"/>
      <c r="C737" s="254"/>
      <c r="D737" s="254"/>
      <c r="E737" s="254"/>
      <c r="F737" s="254"/>
      <c r="G737" s="254"/>
      <c r="H737" s="254"/>
    </row>
    <row r="738">
      <c r="A738" s="254"/>
      <c r="B738" s="254"/>
      <c r="C738" s="254"/>
      <c r="D738" s="254"/>
      <c r="E738" s="254"/>
      <c r="F738" s="254"/>
      <c r="G738" s="254"/>
      <c r="H738" s="254"/>
    </row>
    <row r="739">
      <c r="A739" s="254"/>
      <c r="B739" s="254"/>
      <c r="C739" s="254"/>
      <c r="D739" s="254"/>
      <c r="E739" s="254"/>
      <c r="F739" s="254"/>
      <c r="G739" s="254"/>
      <c r="H739" s="254"/>
    </row>
    <row r="740">
      <c r="A740" s="254"/>
      <c r="B740" s="254"/>
      <c r="C740" s="254"/>
      <c r="D740" s="254"/>
      <c r="E740" s="254"/>
      <c r="F740" s="254"/>
      <c r="G740" s="254"/>
      <c r="H740" s="254"/>
    </row>
    <row r="741">
      <c r="A741" s="254"/>
      <c r="B741" s="254"/>
      <c r="C741" s="254"/>
      <c r="D741" s="254"/>
      <c r="E741" s="254"/>
      <c r="F741" s="254"/>
      <c r="G741" s="254"/>
      <c r="H741" s="254"/>
    </row>
    <row r="742">
      <c r="A742" s="254"/>
      <c r="B742" s="254"/>
      <c r="C742" s="254"/>
      <c r="D742" s="254"/>
      <c r="E742" s="254"/>
      <c r="F742" s="254"/>
      <c r="G742" s="254"/>
      <c r="H742" s="254"/>
    </row>
    <row r="743">
      <c r="A743" s="254"/>
      <c r="B743" s="254"/>
      <c r="C743" s="254"/>
      <c r="D743" s="254"/>
      <c r="E743" s="254"/>
      <c r="F743" s="254"/>
      <c r="G743" s="254"/>
      <c r="H743" s="254"/>
    </row>
    <row r="744">
      <c r="A744" s="254"/>
      <c r="B744" s="254"/>
      <c r="C744" s="254"/>
      <c r="D744" s="254"/>
      <c r="E744" s="254"/>
      <c r="F744" s="254"/>
      <c r="G744" s="254"/>
      <c r="H744" s="254"/>
    </row>
    <row r="745">
      <c r="A745" s="254"/>
      <c r="B745" s="254"/>
      <c r="C745" s="254"/>
      <c r="D745" s="254"/>
      <c r="E745" s="254"/>
      <c r="F745" s="254"/>
      <c r="G745" s="254"/>
      <c r="H745" s="254"/>
    </row>
    <row r="746">
      <c r="A746" s="254"/>
      <c r="B746" s="254"/>
      <c r="C746" s="254"/>
      <c r="D746" s="254"/>
      <c r="E746" s="254"/>
      <c r="F746" s="254"/>
      <c r="G746" s="254"/>
      <c r="H746" s="254"/>
    </row>
    <row r="747">
      <c r="A747" s="254"/>
      <c r="B747" s="254"/>
      <c r="C747" s="254"/>
      <c r="D747" s="254"/>
      <c r="E747" s="254"/>
      <c r="F747" s="254"/>
      <c r="G747" s="254"/>
      <c r="H747" s="254"/>
    </row>
    <row r="748">
      <c r="A748" s="254"/>
      <c r="B748" s="254"/>
      <c r="C748" s="254"/>
      <c r="D748" s="254"/>
      <c r="E748" s="254"/>
      <c r="F748" s="254"/>
      <c r="G748" s="254"/>
      <c r="H748" s="254"/>
    </row>
    <row r="749">
      <c r="A749" s="254"/>
      <c r="B749" s="254"/>
      <c r="C749" s="254"/>
      <c r="D749" s="254"/>
      <c r="E749" s="254"/>
      <c r="F749" s="254"/>
      <c r="G749" s="254"/>
      <c r="H749" s="254"/>
    </row>
    <row r="750">
      <c r="A750" s="254"/>
      <c r="B750" s="254"/>
      <c r="C750" s="254"/>
      <c r="D750" s="254"/>
      <c r="E750" s="254"/>
      <c r="F750" s="254"/>
      <c r="G750" s="254"/>
      <c r="H750" s="254"/>
    </row>
    <row r="751">
      <c r="A751" s="254"/>
      <c r="B751" s="254"/>
      <c r="C751" s="254"/>
      <c r="D751" s="254"/>
      <c r="E751" s="254"/>
      <c r="F751" s="254"/>
      <c r="G751" s="254"/>
      <c r="H751" s="254"/>
    </row>
    <row r="752">
      <c r="A752" s="254"/>
      <c r="B752" s="254"/>
      <c r="C752" s="254"/>
      <c r="D752" s="254"/>
      <c r="E752" s="254"/>
      <c r="F752" s="254"/>
      <c r="G752" s="254"/>
      <c r="H752" s="254"/>
    </row>
    <row r="753">
      <c r="A753" s="254"/>
      <c r="B753" s="254"/>
      <c r="C753" s="254"/>
      <c r="D753" s="254"/>
      <c r="E753" s="254"/>
      <c r="F753" s="254"/>
      <c r="G753" s="254"/>
      <c r="H753" s="254"/>
    </row>
    <row r="754">
      <c r="A754" s="254"/>
      <c r="B754" s="254"/>
      <c r="C754" s="254"/>
      <c r="D754" s="254"/>
      <c r="E754" s="254"/>
      <c r="F754" s="254"/>
      <c r="G754" s="254"/>
      <c r="H754" s="254"/>
    </row>
    <row r="755">
      <c r="A755" s="254"/>
      <c r="B755" s="254"/>
      <c r="C755" s="254"/>
      <c r="D755" s="254"/>
      <c r="E755" s="254"/>
      <c r="F755" s="254"/>
      <c r="G755" s="254"/>
      <c r="H755" s="254"/>
    </row>
    <row r="756">
      <c r="A756" s="254"/>
      <c r="B756" s="254"/>
      <c r="C756" s="254"/>
      <c r="D756" s="254"/>
      <c r="E756" s="254"/>
      <c r="F756" s="254"/>
      <c r="G756" s="254"/>
      <c r="H756" s="254"/>
    </row>
    <row r="757">
      <c r="A757" s="254"/>
      <c r="B757" s="254"/>
      <c r="C757" s="254"/>
      <c r="D757" s="254"/>
      <c r="E757" s="254"/>
      <c r="F757" s="254"/>
      <c r="G757" s="254"/>
      <c r="H757" s="254"/>
    </row>
    <row r="758">
      <c r="A758" s="254"/>
      <c r="B758" s="254"/>
      <c r="C758" s="254"/>
      <c r="D758" s="254"/>
      <c r="E758" s="254"/>
      <c r="F758" s="254"/>
      <c r="G758" s="254"/>
      <c r="H758" s="254"/>
    </row>
    <row r="759">
      <c r="A759" s="254"/>
      <c r="B759" s="254"/>
      <c r="C759" s="254"/>
      <c r="D759" s="254"/>
      <c r="E759" s="254"/>
      <c r="F759" s="254"/>
      <c r="G759" s="254"/>
      <c r="H759" s="254"/>
    </row>
    <row r="760">
      <c r="A760" s="254"/>
      <c r="B760" s="254"/>
      <c r="C760" s="254"/>
      <c r="D760" s="254"/>
      <c r="E760" s="254"/>
      <c r="F760" s="254"/>
      <c r="G760" s="254"/>
      <c r="H760" s="254"/>
    </row>
    <row r="761">
      <c r="A761" s="254"/>
      <c r="B761" s="254"/>
      <c r="C761" s="254"/>
      <c r="D761" s="254"/>
      <c r="E761" s="254"/>
      <c r="F761" s="254"/>
      <c r="G761" s="254"/>
      <c r="H761" s="254"/>
    </row>
    <row r="762">
      <c r="A762" s="254"/>
      <c r="B762" s="254"/>
      <c r="C762" s="254"/>
      <c r="D762" s="254"/>
      <c r="E762" s="254"/>
      <c r="F762" s="254"/>
      <c r="G762" s="254"/>
      <c r="H762" s="254"/>
    </row>
    <row r="763">
      <c r="A763" s="254"/>
      <c r="B763" s="254"/>
      <c r="C763" s="254"/>
      <c r="D763" s="254"/>
      <c r="E763" s="254"/>
      <c r="F763" s="254"/>
      <c r="G763" s="254"/>
      <c r="H763" s="254"/>
    </row>
    <row r="764">
      <c r="A764" s="254"/>
      <c r="B764" s="254"/>
      <c r="C764" s="254"/>
      <c r="D764" s="254"/>
      <c r="E764" s="254"/>
      <c r="F764" s="254"/>
      <c r="G764" s="254"/>
      <c r="H764" s="254"/>
    </row>
    <row r="765">
      <c r="A765" s="254"/>
      <c r="B765" s="254"/>
      <c r="C765" s="254"/>
      <c r="D765" s="254"/>
      <c r="E765" s="254"/>
      <c r="F765" s="254"/>
      <c r="G765" s="254"/>
      <c r="H765" s="254"/>
    </row>
    <row r="766">
      <c r="A766" s="254"/>
      <c r="B766" s="254"/>
      <c r="C766" s="254"/>
      <c r="D766" s="254"/>
      <c r="E766" s="254"/>
      <c r="F766" s="254"/>
      <c r="G766" s="254"/>
      <c r="H766" s="254"/>
    </row>
    <row r="767">
      <c r="A767" s="254"/>
      <c r="B767" s="254"/>
      <c r="C767" s="254"/>
      <c r="D767" s="254"/>
      <c r="E767" s="254"/>
      <c r="F767" s="254"/>
      <c r="G767" s="254"/>
      <c r="H767" s="254"/>
    </row>
    <row r="768">
      <c r="A768" s="254"/>
      <c r="B768" s="254"/>
      <c r="C768" s="254"/>
      <c r="D768" s="254"/>
      <c r="E768" s="254"/>
      <c r="F768" s="254"/>
      <c r="G768" s="254"/>
      <c r="H768" s="254"/>
    </row>
    <row r="769">
      <c r="A769" s="254"/>
      <c r="B769" s="254"/>
      <c r="C769" s="254"/>
      <c r="D769" s="254"/>
      <c r="E769" s="254"/>
      <c r="F769" s="254"/>
      <c r="G769" s="254"/>
      <c r="H769" s="254"/>
    </row>
    <row r="770">
      <c r="A770" s="254"/>
      <c r="B770" s="254"/>
      <c r="C770" s="254"/>
      <c r="D770" s="254"/>
      <c r="E770" s="254"/>
      <c r="F770" s="254"/>
      <c r="G770" s="254"/>
      <c r="H770" s="254"/>
    </row>
    <row r="771">
      <c r="A771" s="254"/>
      <c r="B771" s="254"/>
      <c r="C771" s="254"/>
      <c r="D771" s="254"/>
      <c r="E771" s="254"/>
      <c r="F771" s="254"/>
      <c r="G771" s="254"/>
      <c r="H771" s="254"/>
    </row>
    <row r="772">
      <c r="A772" s="254"/>
      <c r="B772" s="254"/>
      <c r="C772" s="254"/>
      <c r="D772" s="254"/>
      <c r="E772" s="254"/>
      <c r="F772" s="254"/>
      <c r="G772" s="254"/>
      <c r="H772" s="254"/>
    </row>
    <row r="773">
      <c r="A773" s="254"/>
      <c r="B773" s="254"/>
      <c r="C773" s="254"/>
      <c r="D773" s="254"/>
      <c r="E773" s="254"/>
      <c r="F773" s="254"/>
      <c r="G773" s="254"/>
      <c r="H773" s="254"/>
    </row>
    <row r="774">
      <c r="A774" s="254"/>
      <c r="B774" s="254"/>
      <c r="C774" s="254"/>
      <c r="D774" s="254"/>
      <c r="E774" s="254"/>
      <c r="F774" s="254"/>
      <c r="G774" s="254"/>
      <c r="H774" s="254"/>
    </row>
    <row r="775">
      <c r="A775" s="254"/>
      <c r="B775" s="254"/>
      <c r="C775" s="254"/>
      <c r="D775" s="254"/>
      <c r="E775" s="254"/>
      <c r="F775" s="254"/>
      <c r="G775" s="254"/>
      <c r="H775" s="254"/>
    </row>
    <row r="776">
      <c r="A776" s="254"/>
      <c r="B776" s="254"/>
      <c r="C776" s="254"/>
      <c r="D776" s="254"/>
      <c r="E776" s="254"/>
      <c r="F776" s="254"/>
      <c r="G776" s="254"/>
      <c r="H776" s="254"/>
    </row>
    <row r="777">
      <c r="A777" s="254"/>
      <c r="B777" s="254"/>
      <c r="C777" s="254"/>
      <c r="D777" s="254"/>
      <c r="E777" s="254"/>
      <c r="F777" s="254"/>
      <c r="G777" s="254"/>
      <c r="H777" s="254"/>
    </row>
    <row r="778">
      <c r="A778" s="254"/>
      <c r="B778" s="254"/>
      <c r="C778" s="254"/>
      <c r="D778" s="254"/>
      <c r="E778" s="254"/>
      <c r="F778" s="254"/>
      <c r="G778" s="254"/>
      <c r="H778" s="254"/>
    </row>
    <row r="779">
      <c r="A779" s="254"/>
      <c r="B779" s="254"/>
      <c r="C779" s="254"/>
      <c r="D779" s="254"/>
      <c r="E779" s="254"/>
      <c r="F779" s="254"/>
      <c r="G779" s="254"/>
      <c r="H779" s="254"/>
    </row>
    <row r="780">
      <c r="A780" s="254"/>
      <c r="B780" s="254"/>
      <c r="C780" s="254"/>
      <c r="D780" s="254"/>
      <c r="E780" s="254"/>
      <c r="F780" s="254"/>
      <c r="G780" s="254"/>
      <c r="H780" s="254"/>
    </row>
    <row r="781">
      <c r="A781" s="254"/>
      <c r="B781" s="254"/>
      <c r="C781" s="254"/>
      <c r="D781" s="254"/>
      <c r="E781" s="254"/>
      <c r="F781" s="254"/>
      <c r="G781" s="254"/>
      <c r="H781" s="254"/>
    </row>
    <row r="782">
      <c r="A782" s="254"/>
      <c r="B782" s="254"/>
      <c r="C782" s="254"/>
      <c r="D782" s="254"/>
      <c r="E782" s="254"/>
      <c r="F782" s="254"/>
      <c r="G782" s="254"/>
      <c r="H782" s="254"/>
    </row>
    <row r="783">
      <c r="A783" s="254"/>
      <c r="B783" s="254"/>
      <c r="C783" s="254"/>
      <c r="D783" s="254"/>
      <c r="E783" s="254"/>
      <c r="F783" s="254"/>
      <c r="G783" s="254"/>
      <c r="H783" s="254"/>
    </row>
    <row r="784">
      <c r="A784" s="254"/>
      <c r="B784" s="254"/>
      <c r="C784" s="254"/>
      <c r="D784" s="254"/>
      <c r="E784" s="254"/>
      <c r="F784" s="254"/>
      <c r="G784" s="254"/>
      <c r="H784" s="254"/>
    </row>
    <row r="785">
      <c r="A785" s="254"/>
      <c r="B785" s="254"/>
      <c r="C785" s="254"/>
      <c r="D785" s="254"/>
      <c r="E785" s="254"/>
      <c r="F785" s="254"/>
      <c r="G785" s="254"/>
      <c r="H785" s="254"/>
    </row>
    <row r="786">
      <c r="A786" s="254"/>
      <c r="B786" s="254"/>
      <c r="C786" s="254"/>
      <c r="D786" s="254"/>
      <c r="E786" s="254"/>
      <c r="F786" s="254"/>
      <c r="G786" s="254"/>
      <c r="H786" s="254"/>
    </row>
    <row r="787">
      <c r="A787" s="254"/>
      <c r="B787" s="254"/>
      <c r="C787" s="254"/>
      <c r="D787" s="254"/>
      <c r="E787" s="254"/>
      <c r="F787" s="254"/>
      <c r="G787" s="254"/>
      <c r="H787" s="254"/>
    </row>
    <row r="788">
      <c r="A788" s="254"/>
      <c r="B788" s="254"/>
      <c r="C788" s="254"/>
      <c r="D788" s="254"/>
      <c r="E788" s="254"/>
      <c r="F788" s="254"/>
      <c r="G788" s="254"/>
      <c r="H788" s="254"/>
    </row>
    <row r="789">
      <c r="A789" s="254"/>
      <c r="B789" s="254"/>
      <c r="C789" s="254"/>
      <c r="D789" s="254"/>
      <c r="E789" s="254"/>
      <c r="F789" s="254"/>
      <c r="G789" s="254"/>
      <c r="H789" s="254"/>
    </row>
    <row r="790">
      <c r="A790" s="254"/>
      <c r="B790" s="254"/>
      <c r="C790" s="254"/>
      <c r="D790" s="254"/>
      <c r="E790" s="254"/>
      <c r="F790" s="254"/>
      <c r="G790" s="254"/>
      <c r="H790" s="254"/>
    </row>
    <row r="791">
      <c r="A791" s="254"/>
      <c r="B791" s="254"/>
      <c r="C791" s="254"/>
      <c r="D791" s="254"/>
      <c r="E791" s="254"/>
      <c r="F791" s="254"/>
      <c r="G791" s="254"/>
      <c r="H791" s="254"/>
    </row>
    <row r="792">
      <c r="A792" s="254"/>
      <c r="B792" s="254"/>
      <c r="C792" s="254"/>
      <c r="D792" s="254"/>
      <c r="E792" s="254"/>
      <c r="F792" s="254"/>
      <c r="G792" s="254"/>
      <c r="H792" s="254"/>
    </row>
    <row r="793">
      <c r="A793" s="254"/>
      <c r="B793" s="254"/>
      <c r="C793" s="254"/>
      <c r="D793" s="254"/>
      <c r="E793" s="254"/>
      <c r="F793" s="254"/>
      <c r="G793" s="254"/>
      <c r="H793" s="254"/>
    </row>
    <row r="794">
      <c r="A794" s="254"/>
      <c r="B794" s="254"/>
      <c r="C794" s="254"/>
      <c r="D794" s="254"/>
      <c r="E794" s="254"/>
      <c r="F794" s="254"/>
      <c r="G794" s="254"/>
      <c r="H794" s="254"/>
    </row>
    <row r="795">
      <c r="A795" s="254"/>
      <c r="B795" s="254"/>
      <c r="C795" s="254"/>
      <c r="D795" s="254"/>
      <c r="E795" s="254"/>
      <c r="F795" s="254"/>
      <c r="G795" s="254"/>
      <c r="H795" s="254"/>
    </row>
    <row r="796">
      <c r="A796" s="254"/>
      <c r="B796" s="254"/>
      <c r="C796" s="254"/>
      <c r="D796" s="254"/>
      <c r="E796" s="254"/>
      <c r="F796" s="254"/>
      <c r="G796" s="254"/>
      <c r="H796" s="254"/>
    </row>
    <row r="797">
      <c r="A797" s="254"/>
      <c r="B797" s="254"/>
      <c r="C797" s="254"/>
      <c r="D797" s="254"/>
      <c r="E797" s="254"/>
      <c r="F797" s="254"/>
      <c r="G797" s="254"/>
      <c r="H797" s="254"/>
    </row>
    <row r="798">
      <c r="A798" s="254"/>
      <c r="B798" s="254"/>
      <c r="C798" s="254"/>
      <c r="D798" s="254"/>
      <c r="E798" s="254"/>
      <c r="F798" s="254"/>
      <c r="G798" s="254"/>
      <c r="H798" s="254"/>
    </row>
    <row r="799">
      <c r="A799" s="254"/>
      <c r="B799" s="254"/>
      <c r="C799" s="254"/>
      <c r="D799" s="254"/>
      <c r="E799" s="254"/>
      <c r="F799" s="254"/>
      <c r="G799" s="254"/>
      <c r="H799" s="254"/>
    </row>
    <row r="800">
      <c r="A800" s="254"/>
      <c r="B800" s="254"/>
      <c r="C800" s="254"/>
      <c r="D800" s="254"/>
      <c r="E800" s="254"/>
      <c r="F800" s="254"/>
      <c r="G800" s="254"/>
      <c r="H800" s="254"/>
    </row>
    <row r="801">
      <c r="A801" s="254"/>
      <c r="B801" s="254"/>
      <c r="C801" s="254"/>
      <c r="D801" s="254"/>
      <c r="E801" s="254"/>
      <c r="F801" s="254"/>
      <c r="G801" s="254"/>
      <c r="H801" s="254"/>
    </row>
    <row r="802">
      <c r="A802" s="254"/>
      <c r="B802" s="254"/>
      <c r="C802" s="254"/>
      <c r="D802" s="254"/>
      <c r="E802" s="254"/>
      <c r="F802" s="254"/>
      <c r="G802" s="254"/>
      <c r="H802" s="254"/>
    </row>
    <row r="803">
      <c r="A803" s="254"/>
      <c r="B803" s="254"/>
      <c r="C803" s="254"/>
      <c r="D803" s="254"/>
      <c r="E803" s="254"/>
      <c r="F803" s="254"/>
      <c r="G803" s="254"/>
      <c r="H803" s="254"/>
    </row>
    <row r="804">
      <c r="A804" s="254"/>
      <c r="B804" s="254"/>
      <c r="C804" s="254"/>
      <c r="D804" s="254"/>
      <c r="E804" s="254"/>
      <c r="F804" s="254"/>
      <c r="G804" s="254"/>
      <c r="H804" s="254"/>
    </row>
    <row r="805">
      <c r="A805" s="254"/>
      <c r="B805" s="254"/>
      <c r="C805" s="254"/>
      <c r="D805" s="254"/>
      <c r="E805" s="254"/>
      <c r="F805" s="254"/>
      <c r="G805" s="254"/>
      <c r="H805" s="254"/>
    </row>
    <row r="806">
      <c r="A806" s="254"/>
      <c r="B806" s="254"/>
      <c r="C806" s="254"/>
      <c r="D806" s="254"/>
      <c r="E806" s="254"/>
      <c r="F806" s="254"/>
      <c r="G806" s="254"/>
      <c r="H806" s="254"/>
    </row>
    <row r="807">
      <c r="A807" s="254"/>
      <c r="B807" s="254"/>
      <c r="C807" s="254"/>
      <c r="D807" s="254"/>
      <c r="E807" s="254"/>
      <c r="F807" s="254"/>
      <c r="G807" s="254"/>
      <c r="H807" s="254"/>
    </row>
    <row r="808">
      <c r="A808" s="254"/>
      <c r="B808" s="254"/>
      <c r="C808" s="254"/>
      <c r="D808" s="254"/>
      <c r="E808" s="254"/>
      <c r="F808" s="254"/>
      <c r="G808" s="254"/>
      <c r="H808" s="254"/>
    </row>
    <row r="809">
      <c r="A809" s="254"/>
      <c r="B809" s="254"/>
      <c r="C809" s="254"/>
      <c r="D809" s="254"/>
      <c r="E809" s="254"/>
      <c r="F809" s="254"/>
      <c r="G809" s="254"/>
      <c r="H809" s="254"/>
    </row>
    <row r="810">
      <c r="A810" s="254"/>
      <c r="B810" s="254"/>
      <c r="C810" s="254"/>
      <c r="D810" s="254"/>
      <c r="E810" s="254"/>
      <c r="F810" s="254"/>
      <c r="G810" s="254"/>
      <c r="H810" s="254"/>
    </row>
    <row r="811">
      <c r="A811" s="254"/>
      <c r="B811" s="254"/>
      <c r="C811" s="254"/>
      <c r="D811" s="254"/>
      <c r="E811" s="254"/>
      <c r="F811" s="254"/>
      <c r="G811" s="254"/>
      <c r="H811" s="254"/>
    </row>
    <row r="812">
      <c r="A812" s="254"/>
      <c r="B812" s="254"/>
      <c r="C812" s="254"/>
      <c r="D812" s="254"/>
      <c r="E812" s="254"/>
      <c r="F812" s="254"/>
      <c r="G812" s="254"/>
      <c r="H812" s="254"/>
    </row>
    <row r="813">
      <c r="A813" s="254"/>
      <c r="B813" s="254"/>
      <c r="C813" s="254"/>
      <c r="D813" s="254"/>
      <c r="E813" s="254"/>
      <c r="F813" s="254"/>
      <c r="G813" s="254"/>
      <c r="H813" s="254"/>
    </row>
    <row r="814">
      <c r="A814" s="254"/>
      <c r="B814" s="254"/>
      <c r="C814" s="254"/>
      <c r="D814" s="254"/>
      <c r="E814" s="254"/>
      <c r="F814" s="254"/>
      <c r="G814" s="254"/>
      <c r="H814" s="254"/>
    </row>
    <row r="815">
      <c r="A815" s="254"/>
      <c r="B815" s="254"/>
      <c r="C815" s="254"/>
      <c r="D815" s="254"/>
      <c r="E815" s="254"/>
      <c r="F815" s="254"/>
      <c r="G815" s="254"/>
      <c r="H815" s="254"/>
    </row>
    <row r="816">
      <c r="A816" s="254"/>
      <c r="B816" s="254"/>
      <c r="C816" s="254"/>
      <c r="D816" s="254"/>
      <c r="E816" s="254"/>
      <c r="F816" s="254"/>
      <c r="G816" s="254"/>
      <c r="H816" s="254"/>
    </row>
    <row r="817">
      <c r="A817" s="254"/>
      <c r="B817" s="254"/>
      <c r="C817" s="254"/>
      <c r="D817" s="254"/>
      <c r="E817" s="254"/>
      <c r="F817" s="254"/>
      <c r="G817" s="254"/>
      <c r="H817" s="254"/>
    </row>
    <row r="818">
      <c r="A818" s="254"/>
      <c r="B818" s="254"/>
      <c r="C818" s="254"/>
      <c r="D818" s="254"/>
      <c r="E818" s="254"/>
      <c r="F818" s="254"/>
      <c r="G818" s="254"/>
      <c r="H818" s="254"/>
    </row>
    <row r="819">
      <c r="A819" s="254"/>
      <c r="B819" s="254"/>
      <c r="C819" s="254"/>
      <c r="D819" s="254"/>
      <c r="E819" s="254"/>
      <c r="F819" s="254"/>
      <c r="G819" s="254"/>
      <c r="H819" s="254"/>
    </row>
    <row r="820">
      <c r="A820" s="254"/>
      <c r="B820" s="254"/>
      <c r="C820" s="254"/>
      <c r="D820" s="254"/>
      <c r="E820" s="254"/>
      <c r="F820" s="254"/>
      <c r="G820" s="254"/>
      <c r="H820" s="254"/>
    </row>
    <row r="821">
      <c r="A821" s="254"/>
      <c r="B821" s="254"/>
      <c r="C821" s="254"/>
      <c r="D821" s="254"/>
      <c r="E821" s="254"/>
      <c r="F821" s="254"/>
      <c r="G821" s="254"/>
      <c r="H821" s="254"/>
    </row>
    <row r="822">
      <c r="A822" s="254"/>
      <c r="B822" s="254"/>
      <c r="C822" s="254"/>
      <c r="D822" s="254"/>
      <c r="E822" s="254"/>
      <c r="F822" s="254"/>
      <c r="G822" s="254"/>
      <c r="H822" s="254"/>
    </row>
    <row r="823">
      <c r="A823" s="254"/>
      <c r="B823" s="254"/>
      <c r="C823" s="254"/>
      <c r="D823" s="254"/>
      <c r="E823" s="254"/>
      <c r="F823" s="254"/>
      <c r="G823" s="254"/>
      <c r="H823" s="254"/>
    </row>
    <row r="824">
      <c r="A824" s="254"/>
      <c r="B824" s="254"/>
      <c r="C824" s="254"/>
      <c r="D824" s="254"/>
      <c r="E824" s="254"/>
      <c r="F824" s="254"/>
      <c r="G824" s="254"/>
      <c r="H824" s="254"/>
    </row>
    <row r="825">
      <c r="A825" s="254"/>
      <c r="B825" s="254"/>
      <c r="C825" s="254"/>
      <c r="D825" s="254"/>
      <c r="E825" s="254"/>
      <c r="F825" s="254"/>
      <c r="G825" s="254"/>
      <c r="H825" s="254"/>
    </row>
    <row r="826">
      <c r="A826" s="254"/>
      <c r="B826" s="254"/>
      <c r="C826" s="254"/>
      <c r="D826" s="254"/>
      <c r="E826" s="254"/>
      <c r="F826" s="254"/>
      <c r="G826" s="254"/>
      <c r="H826" s="254"/>
    </row>
    <row r="827">
      <c r="A827" s="254"/>
      <c r="B827" s="254"/>
      <c r="C827" s="254"/>
      <c r="D827" s="254"/>
      <c r="E827" s="254"/>
      <c r="F827" s="254"/>
      <c r="G827" s="254"/>
      <c r="H827" s="254"/>
    </row>
    <row r="828">
      <c r="A828" s="254"/>
      <c r="B828" s="254"/>
      <c r="C828" s="254"/>
      <c r="D828" s="254"/>
      <c r="E828" s="254"/>
      <c r="F828" s="254"/>
      <c r="G828" s="254"/>
      <c r="H828" s="254"/>
    </row>
    <row r="829">
      <c r="A829" s="254"/>
      <c r="B829" s="254"/>
      <c r="C829" s="254"/>
      <c r="D829" s="254"/>
      <c r="E829" s="254"/>
      <c r="F829" s="254"/>
      <c r="G829" s="254"/>
      <c r="H829" s="254"/>
    </row>
    <row r="830">
      <c r="A830" s="254"/>
      <c r="B830" s="254"/>
      <c r="C830" s="254"/>
      <c r="D830" s="254"/>
      <c r="E830" s="254"/>
      <c r="F830" s="254"/>
      <c r="G830" s="254"/>
      <c r="H830" s="254"/>
    </row>
    <row r="831">
      <c r="A831" s="254"/>
      <c r="B831" s="254"/>
      <c r="C831" s="254"/>
      <c r="D831" s="254"/>
      <c r="E831" s="254"/>
      <c r="F831" s="254"/>
      <c r="G831" s="254"/>
      <c r="H831" s="254"/>
    </row>
    <row r="832">
      <c r="A832" s="254"/>
      <c r="B832" s="254"/>
      <c r="C832" s="254"/>
      <c r="D832" s="254"/>
      <c r="E832" s="254"/>
      <c r="F832" s="254"/>
      <c r="G832" s="254"/>
      <c r="H832" s="254"/>
    </row>
    <row r="833">
      <c r="A833" s="254"/>
      <c r="B833" s="254"/>
      <c r="C833" s="254"/>
      <c r="D833" s="254"/>
      <c r="E833" s="254"/>
      <c r="F833" s="254"/>
      <c r="G833" s="254"/>
      <c r="H833" s="254"/>
    </row>
    <row r="834">
      <c r="A834" s="254"/>
      <c r="B834" s="254"/>
      <c r="C834" s="254"/>
      <c r="D834" s="254"/>
      <c r="E834" s="254"/>
      <c r="F834" s="254"/>
      <c r="G834" s="254"/>
      <c r="H834" s="254"/>
    </row>
    <row r="835">
      <c r="A835" s="254"/>
      <c r="B835" s="254"/>
      <c r="C835" s="254"/>
      <c r="D835" s="254"/>
      <c r="E835" s="254"/>
      <c r="F835" s="254"/>
      <c r="G835" s="254"/>
      <c r="H835" s="254"/>
    </row>
    <row r="836">
      <c r="A836" s="254"/>
      <c r="B836" s="254"/>
      <c r="C836" s="254"/>
      <c r="D836" s="254"/>
      <c r="E836" s="254"/>
      <c r="F836" s="254"/>
      <c r="G836" s="254"/>
      <c r="H836" s="254"/>
    </row>
    <row r="837">
      <c r="A837" s="254"/>
      <c r="B837" s="254"/>
      <c r="C837" s="254"/>
      <c r="D837" s="254"/>
      <c r="E837" s="254"/>
      <c r="F837" s="254"/>
      <c r="G837" s="254"/>
      <c r="H837" s="254"/>
    </row>
    <row r="838">
      <c r="A838" s="254"/>
      <c r="B838" s="254"/>
      <c r="C838" s="254"/>
      <c r="D838" s="254"/>
      <c r="E838" s="254"/>
      <c r="F838" s="254"/>
      <c r="G838" s="254"/>
      <c r="H838" s="254"/>
    </row>
    <row r="839">
      <c r="A839" s="254"/>
      <c r="B839" s="254"/>
      <c r="C839" s="254"/>
      <c r="D839" s="254"/>
      <c r="E839" s="254"/>
      <c r="F839" s="254"/>
      <c r="G839" s="254"/>
      <c r="H839" s="254"/>
    </row>
    <row r="840">
      <c r="A840" s="254"/>
      <c r="B840" s="254"/>
      <c r="C840" s="254"/>
      <c r="D840" s="254"/>
      <c r="E840" s="254"/>
      <c r="F840" s="254"/>
      <c r="G840" s="254"/>
      <c r="H840" s="254"/>
    </row>
    <row r="841">
      <c r="A841" s="254"/>
      <c r="B841" s="254"/>
      <c r="C841" s="254"/>
      <c r="D841" s="254"/>
      <c r="E841" s="254"/>
      <c r="F841" s="254"/>
      <c r="G841" s="254"/>
      <c r="H841" s="254"/>
    </row>
    <row r="842">
      <c r="A842" s="254"/>
      <c r="B842" s="254"/>
      <c r="C842" s="254"/>
      <c r="D842" s="254"/>
      <c r="E842" s="254"/>
      <c r="F842" s="254"/>
      <c r="G842" s="254"/>
      <c r="H842" s="254"/>
    </row>
    <row r="843">
      <c r="A843" s="254"/>
      <c r="B843" s="254"/>
      <c r="C843" s="254"/>
      <c r="D843" s="254"/>
      <c r="E843" s="254"/>
      <c r="F843" s="254"/>
      <c r="G843" s="254"/>
      <c r="H843" s="254"/>
    </row>
    <row r="844">
      <c r="A844" s="254"/>
      <c r="B844" s="254"/>
      <c r="C844" s="254"/>
      <c r="D844" s="254"/>
      <c r="E844" s="254"/>
      <c r="F844" s="254"/>
      <c r="G844" s="254"/>
      <c r="H844" s="254"/>
    </row>
    <row r="845">
      <c r="A845" s="254"/>
      <c r="B845" s="254"/>
      <c r="C845" s="254"/>
      <c r="D845" s="254"/>
      <c r="E845" s="254"/>
      <c r="F845" s="254"/>
      <c r="G845" s="254"/>
      <c r="H845" s="254"/>
    </row>
    <row r="846">
      <c r="A846" s="254"/>
      <c r="B846" s="254"/>
      <c r="C846" s="254"/>
      <c r="D846" s="254"/>
      <c r="E846" s="254"/>
      <c r="F846" s="254"/>
      <c r="G846" s="254"/>
      <c r="H846" s="254"/>
    </row>
    <row r="847">
      <c r="A847" s="254"/>
      <c r="B847" s="254"/>
      <c r="C847" s="254"/>
      <c r="D847" s="254"/>
      <c r="E847" s="254"/>
      <c r="F847" s="254"/>
      <c r="G847" s="254"/>
      <c r="H847" s="254"/>
    </row>
    <row r="848">
      <c r="A848" s="254"/>
      <c r="B848" s="254"/>
      <c r="C848" s="254"/>
      <c r="D848" s="254"/>
      <c r="E848" s="254"/>
      <c r="F848" s="254"/>
      <c r="G848" s="254"/>
      <c r="H848" s="254"/>
    </row>
    <row r="849">
      <c r="A849" s="254"/>
      <c r="B849" s="254"/>
      <c r="C849" s="254"/>
      <c r="D849" s="254"/>
      <c r="E849" s="254"/>
      <c r="F849" s="254"/>
      <c r="G849" s="254"/>
      <c r="H849" s="254"/>
    </row>
    <row r="850">
      <c r="A850" s="254"/>
      <c r="B850" s="254"/>
      <c r="C850" s="254"/>
      <c r="D850" s="254"/>
      <c r="E850" s="254"/>
      <c r="F850" s="254"/>
      <c r="G850" s="254"/>
      <c r="H850" s="254"/>
    </row>
    <row r="851">
      <c r="A851" s="254"/>
      <c r="B851" s="254"/>
      <c r="C851" s="254"/>
      <c r="D851" s="254"/>
      <c r="E851" s="254"/>
      <c r="F851" s="254"/>
      <c r="G851" s="254"/>
      <c r="H851" s="254"/>
    </row>
    <row r="852">
      <c r="A852" s="254"/>
      <c r="B852" s="254"/>
      <c r="C852" s="254"/>
      <c r="D852" s="254"/>
      <c r="E852" s="254"/>
      <c r="F852" s="254"/>
      <c r="G852" s="254"/>
      <c r="H852" s="254"/>
    </row>
    <row r="853">
      <c r="A853" s="254"/>
      <c r="B853" s="254"/>
      <c r="C853" s="254"/>
      <c r="D853" s="254"/>
      <c r="E853" s="254"/>
      <c r="F853" s="254"/>
      <c r="G853" s="254"/>
      <c r="H853" s="254"/>
    </row>
    <row r="854">
      <c r="A854" s="254"/>
      <c r="B854" s="254"/>
      <c r="C854" s="254"/>
      <c r="D854" s="254"/>
      <c r="E854" s="254"/>
      <c r="F854" s="254"/>
      <c r="G854" s="254"/>
      <c r="H854" s="254"/>
    </row>
    <row r="855">
      <c r="A855" s="254"/>
      <c r="B855" s="254"/>
      <c r="C855" s="254"/>
      <c r="D855" s="254"/>
      <c r="E855" s="254"/>
      <c r="F855" s="254"/>
      <c r="G855" s="254"/>
      <c r="H855" s="254"/>
    </row>
    <row r="856">
      <c r="A856" s="254"/>
      <c r="B856" s="254"/>
      <c r="C856" s="254"/>
      <c r="D856" s="254"/>
      <c r="E856" s="254"/>
      <c r="F856" s="254"/>
      <c r="G856" s="254"/>
      <c r="H856" s="254"/>
    </row>
    <row r="857">
      <c r="A857" s="254"/>
      <c r="B857" s="254"/>
      <c r="C857" s="254"/>
      <c r="D857" s="254"/>
      <c r="E857" s="254"/>
      <c r="F857" s="254"/>
      <c r="G857" s="254"/>
      <c r="H857" s="254"/>
    </row>
    <row r="858">
      <c r="A858" s="254"/>
      <c r="B858" s="254"/>
      <c r="C858" s="254"/>
      <c r="D858" s="254"/>
      <c r="E858" s="254"/>
      <c r="F858" s="254"/>
      <c r="G858" s="254"/>
      <c r="H858" s="254"/>
    </row>
    <row r="859">
      <c r="A859" s="254"/>
      <c r="B859" s="254"/>
      <c r="C859" s="254"/>
      <c r="D859" s="254"/>
      <c r="E859" s="254"/>
      <c r="F859" s="254"/>
      <c r="G859" s="254"/>
      <c r="H859" s="254"/>
    </row>
    <row r="860">
      <c r="A860" s="254"/>
      <c r="B860" s="254"/>
      <c r="C860" s="254"/>
      <c r="D860" s="254"/>
      <c r="E860" s="254"/>
      <c r="F860" s="254"/>
      <c r="G860" s="254"/>
      <c r="H860" s="254"/>
    </row>
    <row r="861">
      <c r="A861" s="254"/>
      <c r="B861" s="254"/>
      <c r="C861" s="254"/>
      <c r="D861" s="254"/>
      <c r="E861" s="254"/>
      <c r="F861" s="254"/>
      <c r="G861" s="254"/>
      <c r="H861" s="254"/>
    </row>
    <row r="862">
      <c r="A862" s="254"/>
      <c r="B862" s="254"/>
      <c r="C862" s="254"/>
      <c r="D862" s="254"/>
      <c r="E862" s="254"/>
      <c r="F862" s="254"/>
      <c r="G862" s="254"/>
      <c r="H862" s="254"/>
    </row>
    <row r="863">
      <c r="A863" s="254"/>
      <c r="B863" s="254"/>
      <c r="C863" s="254"/>
      <c r="D863" s="254"/>
      <c r="E863" s="254"/>
      <c r="F863" s="254"/>
      <c r="G863" s="254"/>
      <c r="H863" s="254"/>
    </row>
    <row r="864">
      <c r="A864" s="254"/>
      <c r="B864" s="254"/>
      <c r="C864" s="254"/>
      <c r="D864" s="254"/>
      <c r="E864" s="254"/>
      <c r="F864" s="254"/>
      <c r="G864" s="254"/>
      <c r="H864" s="254"/>
    </row>
    <row r="865">
      <c r="A865" s="254"/>
      <c r="B865" s="254"/>
      <c r="C865" s="254"/>
      <c r="D865" s="254"/>
      <c r="E865" s="254"/>
      <c r="F865" s="254"/>
      <c r="G865" s="254"/>
      <c r="H865" s="254"/>
    </row>
    <row r="866">
      <c r="A866" s="254"/>
      <c r="B866" s="254"/>
      <c r="C866" s="254"/>
      <c r="D866" s="254"/>
      <c r="E866" s="254"/>
      <c r="F866" s="254"/>
      <c r="G866" s="254"/>
      <c r="H866" s="254"/>
    </row>
    <row r="867">
      <c r="A867" s="254"/>
      <c r="B867" s="254"/>
      <c r="C867" s="254"/>
      <c r="D867" s="254"/>
      <c r="E867" s="254"/>
      <c r="F867" s="254"/>
      <c r="G867" s="254"/>
      <c r="H867" s="254"/>
    </row>
    <row r="868">
      <c r="A868" s="254"/>
      <c r="B868" s="254"/>
      <c r="C868" s="254"/>
      <c r="D868" s="254"/>
      <c r="E868" s="254"/>
      <c r="F868" s="254"/>
      <c r="G868" s="254"/>
      <c r="H868" s="254"/>
    </row>
    <row r="869">
      <c r="A869" s="254"/>
      <c r="B869" s="254"/>
      <c r="C869" s="254"/>
      <c r="D869" s="254"/>
      <c r="E869" s="254"/>
      <c r="F869" s="254"/>
      <c r="G869" s="254"/>
      <c r="H869" s="254"/>
    </row>
    <row r="870">
      <c r="A870" s="254"/>
      <c r="B870" s="254"/>
      <c r="C870" s="254"/>
      <c r="D870" s="254"/>
      <c r="E870" s="254"/>
      <c r="F870" s="254"/>
      <c r="G870" s="254"/>
      <c r="H870" s="254"/>
    </row>
    <row r="871">
      <c r="A871" s="254"/>
      <c r="B871" s="254"/>
      <c r="C871" s="254"/>
      <c r="D871" s="254"/>
      <c r="E871" s="254"/>
      <c r="F871" s="254"/>
      <c r="G871" s="254"/>
      <c r="H871" s="254"/>
    </row>
    <row r="872">
      <c r="A872" s="254"/>
      <c r="B872" s="254"/>
      <c r="C872" s="254"/>
      <c r="D872" s="254"/>
      <c r="E872" s="254"/>
      <c r="F872" s="254"/>
      <c r="G872" s="254"/>
      <c r="H872" s="254"/>
    </row>
    <row r="873">
      <c r="A873" s="254"/>
      <c r="B873" s="254"/>
      <c r="C873" s="254"/>
      <c r="D873" s="254"/>
      <c r="E873" s="254"/>
      <c r="F873" s="254"/>
      <c r="G873" s="254"/>
      <c r="H873" s="254"/>
    </row>
    <row r="874">
      <c r="A874" s="254"/>
      <c r="B874" s="254"/>
      <c r="C874" s="254"/>
      <c r="D874" s="254"/>
      <c r="E874" s="254"/>
      <c r="F874" s="254"/>
      <c r="G874" s="254"/>
      <c r="H874" s="254"/>
    </row>
    <row r="875">
      <c r="A875" s="254"/>
      <c r="B875" s="254"/>
      <c r="C875" s="254"/>
      <c r="D875" s="254"/>
      <c r="E875" s="254"/>
      <c r="F875" s="254"/>
      <c r="G875" s="254"/>
      <c r="H875" s="254"/>
    </row>
    <row r="876">
      <c r="A876" s="254"/>
      <c r="B876" s="254"/>
      <c r="C876" s="254"/>
      <c r="D876" s="254"/>
      <c r="E876" s="254"/>
      <c r="F876" s="254"/>
      <c r="G876" s="254"/>
      <c r="H876" s="254"/>
    </row>
    <row r="877">
      <c r="A877" s="254"/>
      <c r="B877" s="254"/>
      <c r="C877" s="254"/>
      <c r="D877" s="254"/>
      <c r="E877" s="254"/>
      <c r="F877" s="254"/>
      <c r="G877" s="254"/>
      <c r="H877" s="254"/>
    </row>
    <row r="878">
      <c r="A878" s="254"/>
      <c r="B878" s="254"/>
      <c r="C878" s="254"/>
      <c r="D878" s="254"/>
      <c r="E878" s="254"/>
      <c r="F878" s="254"/>
      <c r="G878" s="254"/>
      <c r="H878" s="254"/>
    </row>
    <row r="879">
      <c r="A879" s="254"/>
      <c r="B879" s="254"/>
      <c r="C879" s="254"/>
      <c r="D879" s="254"/>
      <c r="E879" s="254"/>
      <c r="F879" s="254"/>
      <c r="G879" s="254"/>
      <c r="H879" s="254"/>
    </row>
    <row r="880">
      <c r="A880" s="254"/>
      <c r="B880" s="254"/>
      <c r="C880" s="254"/>
      <c r="D880" s="254"/>
      <c r="E880" s="254"/>
      <c r="F880" s="254"/>
      <c r="G880" s="254"/>
      <c r="H880" s="254"/>
    </row>
    <row r="881">
      <c r="A881" s="254"/>
      <c r="B881" s="254"/>
      <c r="C881" s="254"/>
      <c r="D881" s="254"/>
      <c r="E881" s="254"/>
      <c r="F881" s="254"/>
      <c r="G881" s="254"/>
      <c r="H881" s="254"/>
    </row>
    <row r="882">
      <c r="A882" s="254"/>
      <c r="B882" s="254"/>
      <c r="C882" s="254"/>
      <c r="D882" s="254"/>
      <c r="E882" s="254"/>
      <c r="F882" s="254"/>
      <c r="G882" s="254"/>
      <c r="H882" s="254"/>
    </row>
    <row r="883">
      <c r="A883" s="254"/>
      <c r="B883" s="254"/>
      <c r="C883" s="254"/>
      <c r="D883" s="254"/>
      <c r="E883" s="254"/>
      <c r="F883" s="254"/>
      <c r="G883" s="254"/>
      <c r="H883" s="254"/>
    </row>
    <row r="884">
      <c r="A884" s="254"/>
      <c r="B884" s="254"/>
      <c r="C884" s="254"/>
      <c r="D884" s="254"/>
      <c r="E884" s="254"/>
      <c r="F884" s="254"/>
      <c r="G884" s="254"/>
      <c r="H884" s="254"/>
    </row>
    <row r="885">
      <c r="A885" s="254"/>
      <c r="B885" s="254"/>
      <c r="C885" s="254"/>
      <c r="D885" s="254"/>
      <c r="E885" s="254"/>
      <c r="F885" s="254"/>
      <c r="G885" s="254"/>
      <c r="H885" s="254"/>
    </row>
    <row r="886">
      <c r="A886" s="254"/>
      <c r="B886" s="254"/>
      <c r="C886" s="254"/>
      <c r="D886" s="254"/>
      <c r="E886" s="254"/>
      <c r="F886" s="254"/>
      <c r="G886" s="254"/>
      <c r="H886" s="254"/>
    </row>
    <row r="887">
      <c r="A887" s="254"/>
      <c r="B887" s="254"/>
      <c r="C887" s="254"/>
      <c r="D887" s="254"/>
      <c r="E887" s="254"/>
      <c r="F887" s="254"/>
      <c r="G887" s="254"/>
      <c r="H887" s="254"/>
    </row>
    <row r="888">
      <c r="A888" s="254"/>
      <c r="B888" s="254"/>
      <c r="C888" s="254"/>
      <c r="D888" s="254"/>
      <c r="E888" s="254"/>
      <c r="F888" s="254"/>
      <c r="G888" s="254"/>
      <c r="H888" s="254"/>
    </row>
    <row r="889">
      <c r="A889" s="254"/>
      <c r="B889" s="254"/>
      <c r="C889" s="254"/>
      <c r="D889" s="254"/>
      <c r="E889" s="254"/>
      <c r="F889" s="254"/>
      <c r="G889" s="254"/>
      <c r="H889" s="254"/>
    </row>
    <row r="890">
      <c r="A890" s="254"/>
      <c r="B890" s="254"/>
      <c r="C890" s="254"/>
      <c r="D890" s="254"/>
      <c r="E890" s="254"/>
      <c r="F890" s="254"/>
      <c r="G890" s="254"/>
      <c r="H890" s="254"/>
    </row>
    <row r="891">
      <c r="A891" s="254"/>
      <c r="B891" s="254"/>
      <c r="C891" s="254"/>
      <c r="D891" s="254"/>
      <c r="E891" s="254"/>
      <c r="F891" s="254"/>
      <c r="G891" s="254"/>
      <c r="H891" s="254"/>
    </row>
    <row r="892">
      <c r="A892" s="254"/>
      <c r="B892" s="254"/>
      <c r="C892" s="254"/>
      <c r="D892" s="254"/>
      <c r="E892" s="254"/>
      <c r="F892" s="254"/>
      <c r="G892" s="254"/>
      <c r="H892" s="254"/>
    </row>
    <row r="893">
      <c r="A893" s="254"/>
      <c r="B893" s="254"/>
      <c r="C893" s="254"/>
      <c r="D893" s="254"/>
      <c r="E893" s="254"/>
      <c r="F893" s="254"/>
      <c r="G893" s="254"/>
      <c r="H893" s="254"/>
    </row>
    <row r="894">
      <c r="A894" s="254"/>
      <c r="B894" s="254"/>
      <c r="C894" s="254"/>
      <c r="D894" s="254"/>
      <c r="E894" s="254"/>
      <c r="F894" s="254"/>
      <c r="G894" s="254"/>
      <c r="H894" s="254"/>
    </row>
    <row r="895">
      <c r="A895" s="254"/>
      <c r="B895" s="254"/>
      <c r="C895" s="254"/>
      <c r="D895" s="254"/>
      <c r="E895" s="254"/>
      <c r="F895" s="254"/>
      <c r="G895" s="254"/>
      <c r="H895" s="254"/>
    </row>
    <row r="896">
      <c r="A896" s="254"/>
      <c r="B896" s="254"/>
      <c r="C896" s="254"/>
      <c r="D896" s="254"/>
      <c r="E896" s="254"/>
      <c r="F896" s="254"/>
      <c r="G896" s="254"/>
      <c r="H896" s="254"/>
    </row>
    <row r="897">
      <c r="A897" s="254"/>
      <c r="B897" s="254"/>
      <c r="C897" s="254"/>
      <c r="D897" s="254"/>
      <c r="E897" s="254"/>
      <c r="F897" s="254"/>
      <c r="G897" s="254"/>
      <c r="H897" s="254"/>
    </row>
    <row r="898">
      <c r="A898" s="254"/>
      <c r="B898" s="254"/>
      <c r="C898" s="254"/>
      <c r="D898" s="254"/>
      <c r="E898" s="254"/>
      <c r="F898" s="254"/>
      <c r="G898" s="254"/>
      <c r="H898" s="254"/>
    </row>
    <row r="899">
      <c r="A899" s="254"/>
      <c r="B899" s="254"/>
      <c r="C899" s="254"/>
      <c r="D899" s="254"/>
      <c r="E899" s="254"/>
      <c r="F899" s="254"/>
      <c r="G899" s="254"/>
      <c r="H899" s="254"/>
    </row>
    <row r="900">
      <c r="A900" s="254"/>
      <c r="B900" s="254"/>
      <c r="C900" s="254"/>
      <c r="D900" s="254"/>
      <c r="E900" s="254"/>
      <c r="F900" s="254"/>
      <c r="G900" s="254"/>
      <c r="H900" s="254"/>
    </row>
    <row r="901">
      <c r="A901" s="254"/>
      <c r="B901" s="254"/>
      <c r="C901" s="254"/>
      <c r="D901" s="254"/>
      <c r="E901" s="254"/>
      <c r="F901" s="254"/>
      <c r="G901" s="254"/>
      <c r="H901" s="254"/>
    </row>
    <row r="902">
      <c r="A902" s="254"/>
      <c r="B902" s="254"/>
      <c r="C902" s="254"/>
      <c r="D902" s="254"/>
      <c r="E902" s="254"/>
      <c r="F902" s="254"/>
      <c r="G902" s="254"/>
      <c r="H902" s="254"/>
    </row>
    <row r="903">
      <c r="A903" s="254"/>
      <c r="B903" s="254"/>
      <c r="C903" s="254"/>
      <c r="D903" s="254"/>
      <c r="E903" s="254"/>
      <c r="F903" s="254"/>
      <c r="G903" s="254"/>
      <c r="H903" s="254"/>
    </row>
    <row r="904">
      <c r="A904" s="254"/>
      <c r="B904" s="254"/>
      <c r="C904" s="254"/>
      <c r="D904" s="254"/>
      <c r="E904" s="254"/>
      <c r="F904" s="254"/>
      <c r="G904" s="254"/>
      <c r="H904" s="254"/>
    </row>
    <row r="905">
      <c r="A905" s="254"/>
      <c r="B905" s="254"/>
      <c r="C905" s="254"/>
      <c r="D905" s="254"/>
      <c r="E905" s="254"/>
      <c r="F905" s="254"/>
      <c r="G905" s="254"/>
      <c r="H905" s="254"/>
    </row>
    <row r="906">
      <c r="A906" s="254"/>
      <c r="B906" s="254"/>
      <c r="C906" s="254"/>
      <c r="D906" s="254"/>
      <c r="E906" s="254"/>
      <c r="F906" s="254"/>
      <c r="G906" s="254"/>
      <c r="H906" s="254"/>
    </row>
    <row r="907">
      <c r="A907" s="254"/>
      <c r="B907" s="254"/>
      <c r="C907" s="254"/>
      <c r="D907" s="254"/>
      <c r="E907" s="254"/>
      <c r="F907" s="254"/>
      <c r="G907" s="254"/>
      <c r="H907" s="254"/>
    </row>
    <row r="908">
      <c r="A908" s="254"/>
      <c r="B908" s="254"/>
      <c r="C908" s="254"/>
      <c r="D908" s="254"/>
      <c r="E908" s="254"/>
      <c r="F908" s="254"/>
      <c r="G908" s="254"/>
      <c r="H908" s="254"/>
    </row>
    <row r="909">
      <c r="A909" s="254"/>
      <c r="B909" s="254"/>
      <c r="C909" s="254"/>
      <c r="D909" s="254"/>
      <c r="E909" s="254"/>
      <c r="F909" s="254"/>
      <c r="G909" s="254"/>
      <c r="H909" s="254"/>
    </row>
    <row r="910">
      <c r="A910" s="254"/>
      <c r="B910" s="254"/>
      <c r="C910" s="254"/>
      <c r="D910" s="254"/>
      <c r="E910" s="254"/>
      <c r="F910" s="254"/>
      <c r="G910" s="254"/>
      <c r="H910" s="254"/>
    </row>
    <row r="911">
      <c r="A911" s="254"/>
      <c r="B911" s="254"/>
      <c r="C911" s="254"/>
      <c r="D911" s="254"/>
      <c r="E911" s="254"/>
      <c r="F911" s="254"/>
      <c r="G911" s="254"/>
      <c r="H911" s="254"/>
    </row>
    <row r="912">
      <c r="A912" s="254"/>
      <c r="B912" s="254"/>
      <c r="C912" s="254"/>
      <c r="D912" s="254"/>
      <c r="E912" s="254"/>
      <c r="F912" s="254"/>
      <c r="G912" s="254"/>
      <c r="H912" s="254"/>
    </row>
    <row r="913">
      <c r="A913" s="254"/>
      <c r="B913" s="254"/>
      <c r="C913" s="254"/>
      <c r="D913" s="254"/>
      <c r="E913" s="254"/>
      <c r="F913" s="254"/>
      <c r="G913" s="254"/>
      <c r="H913" s="254"/>
    </row>
    <row r="914">
      <c r="A914" s="254"/>
      <c r="B914" s="254"/>
      <c r="C914" s="254"/>
      <c r="D914" s="254"/>
      <c r="E914" s="254"/>
      <c r="F914" s="254"/>
      <c r="G914" s="254"/>
      <c r="H914" s="254"/>
    </row>
    <row r="915">
      <c r="A915" s="254"/>
      <c r="B915" s="254"/>
      <c r="C915" s="254"/>
      <c r="D915" s="254"/>
      <c r="E915" s="254"/>
      <c r="F915" s="254"/>
      <c r="G915" s="254"/>
      <c r="H915" s="254"/>
    </row>
    <row r="916">
      <c r="A916" s="254"/>
      <c r="B916" s="254"/>
      <c r="C916" s="254"/>
      <c r="D916" s="254"/>
      <c r="E916" s="254"/>
      <c r="F916" s="254"/>
      <c r="G916" s="254"/>
      <c r="H916" s="254"/>
    </row>
    <row r="917">
      <c r="A917" s="254"/>
      <c r="B917" s="254"/>
      <c r="C917" s="254"/>
      <c r="D917" s="254"/>
      <c r="E917" s="254"/>
      <c r="F917" s="254"/>
      <c r="G917" s="254"/>
      <c r="H917" s="254"/>
    </row>
    <row r="918">
      <c r="A918" s="254"/>
      <c r="B918" s="254"/>
      <c r="C918" s="254"/>
      <c r="D918" s="254"/>
      <c r="E918" s="254"/>
      <c r="F918" s="254"/>
      <c r="G918" s="254"/>
      <c r="H918" s="254"/>
    </row>
    <row r="919">
      <c r="A919" s="254"/>
      <c r="B919" s="254"/>
      <c r="C919" s="254"/>
      <c r="D919" s="254"/>
      <c r="E919" s="254"/>
      <c r="F919" s="254"/>
      <c r="G919" s="254"/>
      <c r="H919" s="254"/>
    </row>
    <row r="920">
      <c r="A920" s="254"/>
      <c r="B920" s="254"/>
      <c r="C920" s="254"/>
      <c r="D920" s="254"/>
      <c r="E920" s="254"/>
      <c r="F920" s="254"/>
      <c r="G920" s="254"/>
      <c r="H920" s="254"/>
    </row>
    <row r="921">
      <c r="A921" s="254"/>
      <c r="B921" s="254"/>
      <c r="C921" s="254"/>
      <c r="D921" s="254"/>
      <c r="E921" s="254"/>
      <c r="F921" s="254"/>
      <c r="G921" s="254"/>
      <c r="H921" s="254"/>
    </row>
    <row r="922">
      <c r="A922" s="254"/>
      <c r="B922" s="254"/>
      <c r="C922" s="254"/>
      <c r="D922" s="254"/>
      <c r="E922" s="254"/>
      <c r="F922" s="254"/>
      <c r="G922" s="254"/>
      <c r="H922" s="254"/>
    </row>
    <row r="923">
      <c r="A923" s="254"/>
      <c r="B923" s="254"/>
      <c r="C923" s="254"/>
      <c r="D923" s="254"/>
      <c r="E923" s="254"/>
      <c r="F923" s="254"/>
      <c r="G923" s="254"/>
      <c r="H923" s="254"/>
    </row>
    <row r="924">
      <c r="A924" s="254"/>
      <c r="B924" s="254"/>
      <c r="C924" s="254"/>
      <c r="D924" s="254"/>
      <c r="E924" s="254"/>
      <c r="F924" s="254"/>
      <c r="G924" s="254"/>
      <c r="H924" s="254"/>
    </row>
    <row r="925">
      <c r="A925" s="254"/>
      <c r="B925" s="254"/>
      <c r="C925" s="254"/>
      <c r="D925" s="254"/>
      <c r="E925" s="254"/>
      <c r="F925" s="254"/>
      <c r="G925" s="254"/>
      <c r="H925" s="254"/>
    </row>
    <row r="926">
      <c r="A926" s="254"/>
      <c r="B926" s="254"/>
      <c r="C926" s="254"/>
      <c r="D926" s="254"/>
      <c r="E926" s="254"/>
      <c r="F926" s="254"/>
      <c r="G926" s="254"/>
      <c r="H926" s="254"/>
    </row>
    <row r="927">
      <c r="A927" s="254"/>
      <c r="B927" s="254"/>
      <c r="C927" s="254"/>
      <c r="D927" s="254"/>
      <c r="E927" s="254"/>
      <c r="F927" s="254"/>
      <c r="G927" s="254"/>
      <c r="H927" s="254"/>
    </row>
    <row r="928">
      <c r="A928" s="254"/>
      <c r="B928" s="254"/>
      <c r="C928" s="254"/>
      <c r="D928" s="254"/>
      <c r="E928" s="254"/>
      <c r="F928" s="254"/>
      <c r="G928" s="254"/>
      <c r="H928" s="254"/>
    </row>
    <row r="929">
      <c r="A929" s="254"/>
      <c r="B929" s="254"/>
      <c r="C929" s="254"/>
      <c r="D929" s="254"/>
      <c r="E929" s="254"/>
      <c r="F929" s="254"/>
      <c r="G929" s="254"/>
      <c r="H929" s="254"/>
    </row>
    <row r="930">
      <c r="A930" s="254"/>
      <c r="B930" s="254"/>
      <c r="C930" s="254"/>
      <c r="D930" s="254"/>
      <c r="E930" s="254"/>
      <c r="F930" s="254"/>
      <c r="G930" s="254"/>
      <c r="H930" s="254"/>
    </row>
    <row r="931">
      <c r="A931" s="254"/>
      <c r="B931" s="254"/>
      <c r="C931" s="254"/>
      <c r="D931" s="254"/>
      <c r="E931" s="254"/>
      <c r="F931" s="254"/>
      <c r="G931" s="254"/>
      <c r="H931" s="254"/>
    </row>
    <row r="932">
      <c r="A932" s="254"/>
      <c r="B932" s="254"/>
      <c r="C932" s="254"/>
      <c r="D932" s="254"/>
      <c r="E932" s="254"/>
      <c r="F932" s="254"/>
      <c r="G932" s="254"/>
      <c r="H932" s="254"/>
    </row>
    <row r="933">
      <c r="A933" s="254"/>
      <c r="B933" s="254"/>
      <c r="C933" s="254"/>
      <c r="D933" s="254"/>
      <c r="E933" s="254"/>
      <c r="F933" s="254"/>
      <c r="G933" s="254"/>
      <c r="H933" s="254"/>
    </row>
    <row r="934">
      <c r="A934" s="254"/>
      <c r="B934" s="254"/>
      <c r="C934" s="254"/>
      <c r="D934" s="254"/>
      <c r="E934" s="254"/>
      <c r="F934" s="254"/>
      <c r="G934" s="254"/>
      <c r="H934" s="254"/>
    </row>
    <row r="935">
      <c r="A935" s="254"/>
      <c r="B935" s="254"/>
      <c r="C935" s="254"/>
      <c r="D935" s="254"/>
      <c r="E935" s="254"/>
      <c r="F935" s="254"/>
      <c r="G935" s="254"/>
      <c r="H935" s="254"/>
    </row>
    <row r="936">
      <c r="A936" s="254"/>
      <c r="B936" s="254"/>
      <c r="C936" s="254"/>
      <c r="D936" s="254"/>
      <c r="E936" s="254"/>
      <c r="F936" s="254"/>
      <c r="G936" s="254"/>
      <c r="H936" s="254"/>
    </row>
    <row r="937">
      <c r="A937" s="254"/>
      <c r="B937" s="254"/>
      <c r="C937" s="254"/>
      <c r="D937" s="254"/>
      <c r="E937" s="254"/>
      <c r="F937" s="254"/>
      <c r="G937" s="254"/>
      <c r="H937" s="254"/>
    </row>
    <row r="938">
      <c r="A938" s="254"/>
      <c r="B938" s="254"/>
      <c r="C938" s="254"/>
      <c r="D938" s="254"/>
      <c r="E938" s="254"/>
      <c r="F938" s="254"/>
      <c r="G938" s="254"/>
      <c r="H938" s="254"/>
    </row>
    <row r="939">
      <c r="A939" s="254"/>
      <c r="B939" s="254"/>
      <c r="C939" s="254"/>
      <c r="D939" s="254"/>
      <c r="E939" s="254"/>
      <c r="F939" s="254"/>
      <c r="G939" s="254"/>
      <c r="H939" s="254"/>
    </row>
    <row r="940">
      <c r="A940" s="254"/>
      <c r="B940" s="254"/>
      <c r="C940" s="254"/>
      <c r="D940" s="254"/>
      <c r="E940" s="254"/>
      <c r="F940" s="254"/>
      <c r="G940" s="254"/>
      <c r="H940" s="254"/>
    </row>
    <row r="941">
      <c r="A941" s="254"/>
      <c r="B941" s="254"/>
      <c r="C941" s="254"/>
      <c r="D941" s="254"/>
      <c r="E941" s="254"/>
      <c r="F941" s="254"/>
      <c r="G941" s="254"/>
      <c r="H941" s="254"/>
    </row>
    <row r="942">
      <c r="A942" s="254"/>
      <c r="B942" s="254"/>
      <c r="C942" s="254"/>
      <c r="D942" s="254"/>
      <c r="E942" s="254"/>
      <c r="F942" s="254"/>
      <c r="G942" s="254"/>
      <c r="H942" s="254"/>
    </row>
    <row r="943">
      <c r="A943" s="254"/>
      <c r="B943" s="254"/>
      <c r="C943" s="254"/>
      <c r="D943" s="254"/>
      <c r="E943" s="254"/>
      <c r="F943" s="254"/>
      <c r="G943" s="254"/>
      <c r="H943" s="254"/>
    </row>
    <row r="944">
      <c r="A944" s="254"/>
      <c r="B944" s="254"/>
      <c r="C944" s="254"/>
      <c r="D944" s="254"/>
      <c r="E944" s="254"/>
      <c r="F944" s="254"/>
      <c r="G944" s="254"/>
      <c r="H944" s="254"/>
    </row>
    <row r="945">
      <c r="A945" s="254"/>
      <c r="B945" s="254"/>
      <c r="C945" s="254"/>
      <c r="D945" s="254"/>
      <c r="E945" s="254"/>
      <c r="F945" s="254"/>
      <c r="G945" s="254"/>
      <c r="H945" s="254"/>
    </row>
    <row r="946">
      <c r="A946" s="254"/>
      <c r="B946" s="254"/>
      <c r="C946" s="254"/>
      <c r="D946" s="254"/>
      <c r="E946" s="254"/>
      <c r="F946" s="254"/>
      <c r="G946" s="254"/>
      <c r="H946" s="254"/>
    </row>
    <row r="947">
      <c r="A947" s="254"/>
      <c r="B947" s="254"/>
      <c r="C947" s="254"/>
      <c r="D947" s="254"/>
      <c r="E947" s="254"/>
      <c r="F947" s="254"/>
      <c r="G947" s="254"/>
      <c r="H947" s="254"/>
    </row>
    <row r="948">
      <c r="A948" s="254"/>
      <c r="B948" s="254"/>
      <c r="C948" s="254"/>
      <c r="D948" s="254"/>
      <c r="E948" s="254"/>
      <c r="F948" s="254"/>
      <c r="G948" s="254"/>
      <c r="H948" s="254"/>
    </row>
    <row r="949">
      <c r="A949" s="254"/>
      <c r="B949" s="254"/>
      <c r="C949" s="254"/>
      <c r="D949" s="254"/>
      <c r="E949" s="254"/>
      <c r="F949" s="254"/>
      <c r="G949" s="254"/>
      <c r="H949" s="254"/>
    </row>
    <row r="950">
      <c r="A950" s="254"/>
      <c r="B950" s="254"/>
      <c r="C950" s="254"/>
      <c r="D950" s="254"/>
      <c r="E950" s="254"/>
      <c r="F950" s="254"/>
      <c r="G950" s="254"/>
      <c r="H950" s="254"/>
    </row>
    <row r="951">
      <c r="A951" s="254"/>
      <c r="B951" s="254"/>
      <c r="C951" s="254"/>
      <c r="D951" s="254"/>
      <c r="E951" s="254"/>
      <c r="F951" s="254"/>
      <c r="G951" s="254"/>
      <c r="H951" s="254"/>
    </row>
    <row r="952">
      <c r="A952" s="254"/>
      <c r="B952" s="254"/>
      <c r="C952" s="254"/>
      <c r="D952" s="254"/>
      <c r="E952" s="254"/>
      <c r="F952" s="254"/>
      <c r="G952" s="254"/>
      <c r="H952" s="254"/>
    </row>
    <row r="953">
      <c r="A953" s="254"/>
      <c r="B953" s="254"/>
      <c r="C953" s="254"/>
      <c r="D953" s="254"/>
      <c r="E953" s="254"/>
      <c r="F953" s="254"/>
      <c r="G953" s="254"/>
      <c r="H953" s="254"/>
    </row>
    <row r="954">
      <c r="A954" s="254"/>
      <c r="B954" s="254"/>
      <c r="C954" s="254"/>
      <c r="D954" s="254"/>
      <c r="E954" s="254"/>
      <c r="F954" s="254"/>
      <c r="G954" s="254"/>
      <c r="H954" s="254"/>
    </row>
    <row r="955">
      <c r="A955" s="254"/>
      <c r="B955" s="254"/>
      <c r="C955" s="254"/>
      <c r="D955" s="254"/>
      <c r="E955" s="254"/>
      <c r="F955" s="254"/>
      <c r="G955" s="254"/>
      <c r="H955" s="254"/>
    </row>
    <row r="956">
      <c r="A956" s="254"/>
      <c r="B956" s="254"/>
      <c r="C956" s="254"/>
      <c r="D956" s="254"/>
      <c r="E956" s="254"/>
      <c r="F956" s="254"/>
      <c r="G956" s="254"/>
      <c r="H956" s="254"/>
    </row>
    <row r="957">
      <c r="A957" s="254"/>
      <c r="B957" s="254"/>
      <c r="C957" s="254"/>
      <c r="D957" s="254"/>
      <c r="E957" s="254"/>
      <c r="F957" s="254"/>
      <c r="G957" s="254"/>
      <c r="H957" s="254"/>
    </row>
    <row r="958">
      <c r="A958" s="254"/>
      <c r="B958" s="254"/>
      <c r="C958" s="254"/>
      <c r="D958" s="254"/>
      <c r="E958" s="254"/>
      <c r="F958" s="254"/>
      <c r="G958" s="254"/>
      <c r="H958" s="254"/>
    </row>
    <row r="959">
      <c r="A959" s="254"/>
      <c r="B959" s="254"/>
      <c r="C959" s="254"/>
      <c r="D959" s="254"/>
      <c r="E959" s="254"/>
      <c r="F959" s="254"/>
      <c r="G959" s="254"/>
      <c r="H959" s="254"/>
    </row>
    <row r="960">
      <c r="A960" s="254"/>
      <c r="B960" s="254"/>
      <c r="C960" s="254"/>
      <c r="D960" s="254"/>
      <c r="E960" s="254"/>
      <c r="F960" s="254"/>
      <c r="G960" s="254"/>
      <c r="H960" s="254"/>
    </row>
    <row r="961">
      <c r="A961" s="254"/>
      <c r="B961" s="254"/>
      <c r="C961" s="254"/>
      <c r="D961" s="254"/>
      <c r="E961" s="254"/>
      <c r="F961" s="254"/>
      <c r="G961" s="254"/>
      <c r="H961" s="254"/>
    </row>
    <row r="962">
      <c r="A962" s="254"/>
      <c r="B962" s="254"/>
      <c r="C962" s="254"/>
      <c r="D962" s="254"/>
      <c r="E962" s="254"/>
      <c r="F962" s="254"/>
      <c r="G962" s="254"/>
      <c r="H962" s="254"/>
    </row>
    <row r="963">
      <c r="A963" s="254"/>
      <c r="B963" s="254"/>
      <c r="C963" s="254"/>
      <c r="D963" s="254"/>
      <c r="E963" s="254"/>
      <c r="F963" s="254"/>
      <c r="G963" s="254"/>
      <c r="H963" s="254"/>
    </row>
    <row r="964">
      <c r="A964" s="254"/>
      <c r="B964" s="254"/>
      <c r="C964" s="254"/>
      <c r="D964" s="254"/>
      <c r="E964" s="254"/>
      <c r="F964" s="254"/>
      <c r="G964" s="254"/>
      <c r="H964" s="254"/>
    </row>
    <row r="965">
      <c r="A965" s="254"/>
      <c r="B965" s="254"/>
      <c r="C965" s="254"/>
      <c r="D965" s="254"/>
      <c r="E965" s="254"/>
      <c r="F965" s="254"/>
      <c r="G965" s="254"/>
      <c r="H965" s="254"/>
    </row>
    <row r="966">
      <c r="A966" s="254"/>
      <c r="B966" s="254"/>
      <c r="C966" s="254"/>
      <c r="D966" s="254"/>
      <c r="E966" s="254"/>
      <c r="F966" s="254"/>
      <c r="G966" s="254"/>
      <c r="H966" s="254"/>
    </row>
    <row r="967">
      <c r="A967" s="254"/>
      <c r="B967" s="254"/>
      <c r="C967" s="254"/>
      <c r="D967" s="254"/>
      <c r="E967" s="254"/>
      <c r="F967" s="254"/>
      <c r="G967" s="254"/>
      <c r="H967" s="254"/>
    </row>
    <row r="968">
      <c r="A968" s="254"/>
      <c r="B968" s="254"/>
      <c r="C968" s="254"/>
      <c r="D968" s="254"/>
      <c r="E968" s="254"/>
      <c r="F968" s="254"/>
      <c r="G968" s="254"/>
      <c r="H968" s="254"/>
    </row>
    <row r="969">
      <c r="A969" s="254"/>
      <c r="B969" s="254"/>
      <c r="C969" s="254"/>
      <c r="D969" s="254"/>
      <c r="E969" s="254"/>
      <c r="F969" s="254"/>
      <c r="G969" s="254"/>
      <c r="H969" s="254"/>
    </row>
    <row r="970">
      <c r="A970" s="254"/>
      <c r="B970" s="254"/>
      <c r="C970" s="254"/>
      <c r="D970" s="254"/>
      <c r="E970" s="254"/>
      <c r="F970" s="254"/>
      <c r="G970" s="254"/>
      <c r="H970" s="254"/>
    </row>
    <row r="971">
      <c r="A971" s="254"/>
      <c r="B971" s="254"/>
      <c r="C971" s="254"/>
      <c r="D971" s="254"/>
      <c r="E971" s="254"/>
      <c r="F971" s="254"/>
      <c r="G971" s="254"/>
      <c r="H971" s="254"/>
    </row>
    <row r="972">
      <c r="A972" s="254"/>
      <c r="B972" s="254"/>
      <c r="C972" s="254"/>
      <c r="D972" s="254"/>
      <c r="E972" s="254"/>
      <c r="F972" s="254"/>
      <c r="G972" s="254"/>
      <c r="H972" s="254"/>
    </row>
    <row r="973">
      <c r="A973" s="254"/>
      <c r="B973" s="254"/>
      <c r="C973" s="254"/>
      <c r="D973" s="254"/>
      <c r="E973" s="254"/>
      <c r="F973" s="254"/>
      <c r="G973" s="254"/>
      <c r="H973" s="254"/>
    </row>
    <row r="974">
      <c r="A974" s="254"/>
      <c r="B974" s="254"/>
      <c r="C974" s="254"/>
      <c r="D974" s="254"/>
      <c r="E974" s="254"/>
      <c r="F974" s="254"/>
      <c r="G974" s="254"/>
      <c r="H974" s="254"/>
    </row>
    <row r="975">
      <c r="A975" s="254"/>
      <c r="B975" s="254"/>
      <c r="C975" s="254"/>
      <c r="D975" s="254"/>
      <c r="E975" s="254"/>
      <c r="F975" s="254"/>
      <c r="G975" s="254"/>
      <c r="H975" s="254"/>
    </row>
    <row r="976">
      <c r="A976" s="254"/>
      <c r="B976" s="254"/>
      <c r="C976" s="254"/>
      <c r="D976" s="254"/>
      <c r="E976" s="254"/>
      <c r="F976" s="254"/>
      <c r="G976" s="254"/>
      <c r="H976" s="254"/>
    </row>
    <row r="977">
      <c r="A977" s="254"/>
      <c r="B977" s="254"/>
      <c r="C977" s="254"/>
      <c r="D977" s="254"/>
      <c r="E977" s="254"/>
      <c r="F977" s="254"/>
      <c r="G977" s="254"/>
      <c r="H977" s="254"/>
    </row>
    <row r="978">
      <c r="A978" s="254"/>
      <c r="B978" s="254"/>
      <c r="C978" s="254"/>
      <c r="D978" s="254"/>
      <c r="E978" s="254"/>
      <c r="F978" s="254"/>
      <c r="G978" s="254"/>
      <c r="H978" s="254"/>
    </row>
    <row r="979">
      <c r="A979" s="254"/>
      <c r="B979" s="254"/>
      <c r="C979" s="254"/>
      <c r="D979" s="254"/>
      <c r="E979" s="254"/>
      <c r="F979" s="254"/>
      <c r="G979" s="254"/>
      <c r="H979" s="254"/>
    </row>
    <row r="980">
      <c r="A980" s="254"/>
      <c r="B980" s="254"/>
      <c r="C980" s="254"/>
      <c r="D980" s="254"/>
      <c r="E980" s="254"/>
      <c r="F980" s="254"/>
      <c r="G980" s="254"/>
      <c r="H980" s="254"/>
    </row>
    <row r="981">
      <c r="A981" s="254"/>
      <c r="B981" s="254"/>
      <c r="C981" s="254"/>
      <c r="D981" s="254"/>
      <c r="E981" s="254"/>
      <c r="F981" s="254"/>
      <c r="G981" s="254"/>
      <c r="H981" s="254"/>
    </row>
    <row r="982">
      <c r="A982" s="254"/>
      <c r="B982" s="254"/>
      <c r="C982" s="254"/>
      <c r="D982" s="254"/>
      <c r="E982" s="254"/>
      <c r="F982" s="254"/>
      <c r="G982" s="254"/>
      <c r="H982" s="254"/>
    </row>
    <row r="983">
      <c r="A983" s="254"/>
      <c r="B983" s="254"/>
      <c r="C983" s="254"/>
      <c r="D983" s="254"/>
      <c r="E983" s="254"/>
      <c r="F983" s="254"/>
      <c r="G983" s="254"/>
      <c r="H983" s="254"/>
    </row>
    <row r="984">
      <c r="A984" s="254"/>
      <c r="B984" s="254"/>
      <c r="C984" s="254"/>
      <c r="D984" s="254"/>
      <c r="E984" s="254"/>
      <c r="F984" s="254"/>
      <c r="G984" s="254"/>
      <c r="H984" s="254"/>
    </row>
    <row r="985">
      <c r="A985" s="254"/>
      <c r="B985" s="254"/>
      <c r="C985" s="254"/>
      <c r="D985" s="254"/>
      <c r="E985" s="254"/>
      <c r="F985" s="254"/>
      <c r="G985" s="254"/>
      <c r="H985" s="254"/>
    </row>
    <row r="986">
      <c r="A986" s="254"/>
      <c r="B986" s="254"/>
      <c r="C986" s="254"/>
      <c r="D986" s="254"/>
      <c r="E986" s="254"/>
      <c r="F986" s="254"/>
      <c r="G986" s="254"/>
      <c r="H986" s="254"/>
    </row>
    <row r="987">
      <c r="A987" s="254"/>
      <c r="B987" s="254"/>
      <c r="C987" s="254"/>
      <c r="D987" s="254"/>
      <c r="E987" s="254"/>
      <c r="F987" s="254"/>
      <c r="G987" s="254"/>
      <c r="H987" s="254"/>
    </row>
    <row r="988">
      <c r="A988" s="254"/>
      <c r="B988" s="254"/>
      <c r="C988" s="254"/>
      <c r="D988" s="254"/>
      <c r="E988" s="254"/>
      <c r="F988" s="254"/>
      <c r="G988" s="254"/>
      <c r="H988" s="254"/>
    </row>
    <row r="989">
      <c r="A989" s="254"/>
      <c r="B989" s="254"/>
      <c r="C989" s="254"/>
      <c r="D989" s="254"/>
      <c r="E989" s="254"/>
      <c r="F989" s="254"/>
      <c r="G989" s="254"/>
      <c r="H989" s="254"/>
    </row>
    <row r="990">
      <c r="A990" s="254"/>
      <c r="B990" s="254"/>
      <c r="C990" s="254"/>
      <c r="D990" s="254"/>
      <c r="E990" s="254"/>
      <c r="F990" s="254"/>
      <c r="G990" s="254"/>
      <c r="H990" s="254"/>
    </row>
    <row r="991">
      <c r="A991" s="254"/>
      <c r="B991" s="254"/>
      <c r="C991" s="254"/>
      <c r="D991" s="254"/>
      <c r="E991" s="254"/>
      <c r="F991" s="254"/>
      <c r="G991" s="254"/>
      <c r="H991" s="254"/>
    </row>
    <row r="992">
      <c r="A992" s="254"/>
      <c r="B992" s="254"/>
      <c r="C992" s="254"/>
      <c r="D992" s="254"/>
      <c r="E992" s="254"/>
      <c r="F992" s="254"/>
      <c r="G992" s="254"/>
      <c r="H992" s="254"/>
    </row>
    <row r="993">
      <c r="A993" s="254"/>
      <c r="B993" s="254"/>
      <c r="C993" s="254"/>
      <c r="D993" s="254"/>
      <c r="E993" s="254"/>
      <c r="F993" s="254"/>
      <c r="G993" s="254"/>
      <c r="H993" s="254"/>
    </row>
    <row r="994">
      <c r="A994" s="254"/>
      <c r="B994" s="254"/>
      <c r="C994" s="254"/>
      <c r="D994" s="254"/>
      <c r="E994" s="254"/>
      <c r="F994" s="254"/>
      <c r="G994" s="254"/>
      <c r="H994" s="254"/>
    </row>
    <row r="995">
      <c r="A995" s="254"/>
      <c r="B995" s="254"/>
      <c r="C995" s="254"/>
      <c r="D995" s="254"/>
      <c r="E995" s="254"/>
      <c r="F995" s="254"/>
      <c r="G995" s="254"/>
      <c r="H995" s="254"/>
    </row>
    <row r="996">
      <c r="A996" s="254"/>
      <c r="B996" s="254"/>
      <c r="C996" s="254"/>
      <c r="D996" s="254"/>
      <c r="E996" s="254"/>
      <c r="F996" s="254"/>
      <c r="G996" s="254"/>
      <c r="H996" s="254"/>
    </row>
    <row r="997">
      <c r="A997" s="254"/>
      <c r="B997" s="254"/>
      <c r="C997" s="254"/>
      <c r="D997" s="254"/>
      <c r="E997" s="254"/>
      <c r="F997" s="254"/>
      <c r="G997" s="254"/>
      <c r="H997" s="254"/>
    </row>
    <row r="998">
      <c r="A998" s="254"/>
      <c r="B998" s="254"/>
      <c r="C998" s="254"/>
      <c r="D998" s="254"/>
      <c r="E998" s="254"/>
      <c r="F998" s="254"/>
      <c r="G998" s="254"/>
      <c r="H998" s="254"/>
    </row>
    <row r="999">
      <c r="A999" s="254"/>
      <c r="B999" s="254"/>
      <c r="C999" s="254"/>
      <c r="D999" s="254"/>
      <c r="E999" s="254"/>
      <c r="F999" s="254"/>
      <c r="G999" s="254"/>
      <c r="H999" s="254"/>
    </row>
    <row r="1000">
      <c r="A1000" s="254"/>
      <c r="B1000" s="254"/>
      <c r="C1000" s="254"/>
      <c r="D1000" s="254"/>
      <c r="E1000" s="254"/>
      <c r="F1000" s="254"/>
      <c r="G1000" s="254"/>
      <c r="H1000" s="254"/>
    </row>
    <row r="1001">
      <c r="A1001" s="254"/>
      <c r="B1001" s="254"/>
      <c r="C1001" s="254"/>
      <c r="D1001" s="254"/>
      <c r="E1001" s="254"/>
      <c r="F1001" s="254"/>
      <c r="G1001" s="254"/>
      <c r="H1001" s="254"/>
    </row>
    <row r="1002">
      <c r="A1002" s="254"/>
      <c r="B1002" s="254"/>
      <c r="C1002" s="254"/>
      <c r="D1002" s="254"/>
      <c r="E1002" s="254"/>
      <c r="F1002" s="254"/>
      <c r="G1002" s="254"/>
      <c r="H1002" s="254"/>
    </row>
    <row r="1003">
      <c r="A1003" s="254"/>
      <c r="B1003" s="254"/>
      <c r="C1003" s="254"/>
      <c r="D1003" s="254"/>
      <c r="E1003" s="254"/>
      <c r="F1003" s="254"/>
      <c r="G1003" s="254"/>
      <c r="H1003" s="254"/>
    </row>
    <row r="1004">
      <c r="A1004" s="254"/>
      <c r="B1004" s="254"/>
      <c r="C1004" s="254"/>
      <c r="D1004" s="254"/>
      <c r="E1004" s="254"/>
      <c r="F1004" s="254"/>
      <c r="G1004" s="254"/>
      <c r="H1004" s="254"/>
    </row>
  </sheetData>
  <mergeCells count="2">
    <mergeCell ref="B1:C1"/>
    <mergeCell ref="B8:C8"/>
  </mergeCells>
  <dataValidations>
    <dataValidation type="list" allowBlank="1" showErrorMessage="1" sqref="D2:D7 F2:F7 D9:D41 F9:F41 D43:D53 F43:F53 D55:D65 F55:F65 D67:D83 F67:F83 D85:D89 F85:F89 D91:D94 F91:F94 D96:D99 F96:F99">
      <formula1>Configuraciones!$G$3:$G$9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23.13"/>
    <col customWidth="1" min="3" max="3" width="15.13"/>
    <col customWidth="1" min="4" max="4" width="5.13"/>
    <col customWidth="1" min="5" max="5" width="29.63"/>
    <col customWidth="1" min="6" max="6" width="8.63"/>
  </cols>
  <sheetData>
    <row r="1" ht="36.75" customHeight="1">
      <c r="A1" s="255"/>
      <c r="B1" s="255"/>
      <c r="C1" s="256"/>
      <c r="D1" s="257"/>
      <c r="E1" s="257"/>
      <c r="F1" s="258"/>
      <c r="G1" s="45"/>
      <c r="H1" s="45"/>
      <c r="I1" s="45"/>
      <c r="J1" s="45"/>
      <c r="K1" s="45"/>
      <c r="L1" s="259"/>
      <c r="M1" s="260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36.75" customHeight="1">
      <c r="A2" s="261"/>
      <c r="B2" s="261" t="str">
        <f>'Test Case'!B2</f>
        <v/>
      </c>
      <c r="H2" s="262">
        <f>TODAY()</f>
        <v>46109</v>
      </c>
      <c r="J2" s="45"/>
      <c r="K2" s="263"/>
      <c r="L2" s="264" t="s">
        <v>125</v>
      </c>
      <c r="M2" s="265" t="s">
        <v>46</v>
      </c>
      <c r="N2" s="266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7.25" customHeight="1">
      <c r="A3" s="256"/>
      <c r="B3" s="256"/>
      <c r="C3" s="256"/>
      <c r="D3" s="256"/>
      <c r="E3" s="256"/>
      <c r="F3" s="256"/>
      <c r="G3" s="256"/>
      <c r="H3" s="256"/>
      <c r="I3" s="256"/>
      <c r="J3" s="45"/>
      <c r="K3" s="263"/>
      <c r="L3" s="267">
        <v>45658.0</v>
      </c>
      <c r="M3" s="265" t="s">
        <v>514</v>
      </c>
      <c r="N3" s="266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idden="1">
      <c r="A4" s="268"/>
      <c r="B4" s="268"/>
      <c r="C4" s="269"/>
      <c r="K4" s="270"/>
      <c r="L4" s="267">
        <v>45764.0</v>
      </c>
      <c r="M4" s="265" t="s">
        <v>515</v>
      </c>
      <c r="N4" s="266"/>
    </row>
    <row r="5">
      <c r="A5" s="268"/>
      <c r="B5" s="271" t="s">
        <v>516</v>
      </c>
      <c r="C5" s="272" t="s">
        <v>517</v>
      </c>
      <c r="K5" s="270"/>
      <c r="L5" s="267">
        <v>45765.0</v>
      </c>
      <c r="M5" s="265" t="s">
        <v>518</v>
      </c>
      <c r="N5" s="266"/>
    </row>
    <row r="6">
      <c r="A6" s="268"/>
      <c r="B6" s="268" t="s">
        <v>319</v>
      </c>
      <c r="C6" s="273">
        <f>COUNTIFS('Test Run'!M1:M999, B6)</f>
        <v>0</v>
      </c>
      <c r="K6" s="270"/>
      <c r="L6" s="267">
        <v>45778.0</v>
      </c>
      <c r="M6" s="265" t="s">
        <v>519</v>
      </c>
      <c r="N6" s="266"/>
    </row>
    <row r="7">
      <c r="A7" s="268"/>
      <c r="B7" s="268" t="s">
        <v>520</v>
      </c>
      <c r="C7" s="273">
        <f>COUNTIFS('Test Run'!M1:M999, B7)</f>
        <v>0</v>
      </c>
      <c r="K7" s="270"/>
      <c r="L7" s="267">
        <v>45837.0</v>
      </c>
      <c r="M7" s="265" t="s">
        <v>521</v>
      </c>
      <c r="N7" s="266"/>
    </row>
    <row r="8">
      <c r="A8" s="268"/>
      <c r="B8" s="268" t="s">
        <v>522</v>
      </c>
      <c r="C8" s="273">
        <f>COUNTIFS('Test Run'!M1:M999, B8)</f>
        <v>0</v>
      </c>
      <c r="K8" s="270"/>
      <c r="L8" s="267">
        <v>45866.0</v>
      </c>
      <c r="M8" s="265" t="s">
        <v>523</v>
      </c>
      <c r="N8" s="266"/>
    </row>
    <row r="9">
      <c r="A9" s="268"/>
      <c r="B9" s="268" t="s">
        <v>321</v>
      </c>
      <c r="C9" s="273">
        <f>COUNTIFS('Test Run'!M1:M999, B9)</f>
        <v>0</v>
      </c>
      <c r="K9" s="270"/>
      <c r="L9" s="267">
        <v>45867.0</v>
      </c>
      <c r="M9" s="265" t="s">
        <v>524</v>
      </c>
      <c r="N9" s="266"/>
    </row>
    <row r="10">
      <c r="A10" s="268"/>
      <c r="B10" s="268" t="s">
        <v>320</v>
      </c>
      <c r="C10" s="273">
        <f>COUNTIFS('Test Run'!M1:M999, B10)</f>
        <v>0</v>
      </c>
      <c r="K10" s="270"/>
      <c r="L10" s="267">
        <v>45899.0</v>
      </c>
      <c r="M10" s="265" t="s">
        <v>525</v>
      </c>
      <c r="N10" s="266"/>
    </row>
    <row r="11">
      <c r="A11" s="268"/>
      <c r="B11" s="274" t="s">
        <v>526</v>
      </c>
      <c r="C11" s="275">
        <f>COUNTIFS('Test Run'!M1:M999, B11)</f>
        <v>0</v>
      </c>
      <c r="K11" s="270"/>
      <c r="L11" s="267">
        <v>45938.0</v>
      </c>
      <c r="M11" s="265" t="s">
        <v>527</v>
      </c>
      <c r="N11" s="266"/>
    </row>
    <row r="12">
      <c r="A12" s="276"/>
      <c r="B12" s="268" t="s">
        <v>528</v>
      </c>
      <c r="C12" s="273">
        <f>COUNTIFS('Test Run'!M1:M999, B12)</f>
        <v>0</v>
      </c>
      <c r="K12" s="270"/>
      <c r="L12" s="267">
        <v>45962.0</v>
      </c>
      <c r="M12" s="265" t="s">
        <v>529</v>
      </c>
      <c r="N12" s="266"/>
    </row>
    <row r="13">
      <c r="A13" s="276"/>
      <c r="B13" s="276"/>
      <c r="C13" s="277"/>
      <c r="K13" s="270"/>
      <c r="L13" s="267">
        <v>45999.0</v>
      </c>
      <c r="M13" s="265" t="s">
        <v>530</v>
      </c>
      <c r="N13" s="266"/>
    </row>
    <row r="14">
      <c r="A14" s="276"/>
      <c r="B14" s="276"/>
      <c r="C14" s="277"/>
      <c r="K14" s="270"/>
      <c r="L14" s="267">
        <v>46000.0</v>
      </c>
      <c r="M14" s="265" t="s">
        <v>531</v>
      </c>
      <c r="N14" s="266"/>
    </row>
    <row r="15">
      <c r="A15" s="276"/>
      <c r="B15" s="276"/>
      <c r="C15" s="277"/>
      <c r="K15" s="270"/>
      <c r="L15" s="278">
        <v>46016.0</v>
      </c>
      <c r="M15" s="265" t="s">
        <v>532</v>
      </c>
      <c r="N15" s="266"/>
    </row>
    <row r="16">
      <c r="A16" s="276"/>
      <c r="B16" s="276"/>
      <c r="C16" s="277"/>
      <c r="K16" s="270"/>
      <c r="L16" s="266"/>
      <c r="M16" s="279"/>
      <c r="N16" s="266"/>
    </row>
    <row r="17">
      <c r="A17" s="276"/>
      <c r="B17" s="276"/>
      <c r="C17" s="277"/>
      <c r="M17" s="280"/>
    </row>
    <row r="18">
      <c r="A18" s="3"/>
      <c r="B18" s="3"/>
      <c r="C18" s="3"/>
      <c r="M18" s="280"/>
    </row>
    <row r="19">
      <c r="A19" s="3"/>
      <c r="B19" s="281" t="s">
        <v>533</v>
      </c>
      <c r="C19" s="282">
        <f>SUM(C2:C16)</f>
        <v>0</v>
      </c>
      <c r="M19" s="280"/>
    </row>
    <row r="20">
      <c r="A20" s="283"/>
      <c r="B20" s="284" t="s">
        <v>534</v>
      </c>
      <c r="C20" s="285">
        <f t="array" ref="C20">SUMPRODUCT(('Test Run'!M2:M1000="Pendiente") * (NETWORKDAYS('Test Run'!K2:K1000, TODAY()-1, L3:L999) &gt; 3))</f>
        <v>0</v>
      </c>
      <c r="M20" s="280"/>
    </row>
    <row r="21">
      <c r="A21" s="276"/>
      <c r="B21" s="276"/>
      <c r="C21" s="277"/>
      <c r="M21" s="280"/>
    </row>
    <row r="22">
      <c r="A22" s="276"/>
      <c r="B22" s="276"/>
      <c r="C22" s="277"/>
      <c r="M22" s="280"/>
    </row>
    <row r="23">
      <c r="A23" s="276"/>
      <c r="B23" s="276"/>
      <c r="C23" s="277"/>
      <c r="M23" s="280"/>
    </row>
    <row r="24">
      <c r="A24" s="276"/>
      <c r="B24" s="276"/>
      <c r="C24" s="277"/>
      <c r="M24" s="280"/>
    </row>
    <row r="25">
      <c r="A25" s="276"/>
      <c r="B25" s="276"/>
      <c r="C25" s="277"/>
      <c r="M25" s="280"/>
    </row>
    <row r="26">
      <c r="A26" s="276"/>
      <c r="B26" s="276"/>
      <c r="C26" s="277"/>
      <c r="F26" s="268"/>
      <c r="M26" s="280"/>
    </row>
    <row r="27">
      <c r="A27" s="276"/>
      <c r="B27" s="276"/>
      <c r="C27" s="277"/>
      <c r="F27" s="268"/>
      <c r="M27" s="280"/>
    </row>
    <row r="28">
      <c r="A28" s="276"/>
      <c r="B28" s="276"/>
      <c r="C28" s="277"/>
      <c r="F28" s="268"/>
      <c r="M28" s="280"/>
    </row>
    <row r="29">
      <c r="A29" s="276"/>
      <c r="B29" s="276"/>
      <c r="C29" s="277"/>
      <c r="F29" s="268"/>
      <c r="M29" s="280"/>
    </row>
    <row r="30">
      <c r="A30" s="276"/>
      <c r="B30" s="276"/>
      <c r="C30" s="277"/>
      <c r="F30" s="268"/>
      <c r="M30" s="280"/>
    </row>
    <row r="31">
      <c r="A31" s="276"/>
      <c r="B31" s="276"/>
      <c r="C31" s="277"/>
      <c r="F31" s="268"/>
      <c r="M31" s="280"/>
    </row>
    <row r="32">
      <c r="A32" s="276"/>
      <c r="B32" s="276"/>
      <c r="C32" s="277"/>
      <c r="F32" s="268"/>
      <c r="M32" s="280"/>
    </row>
    <row r="33">
      <c r="A33" s="276"/>
      <c r="B33" s="276"/>
      <c r="C33" s="277"/>
      <c r="M33" s="280"/>
    </row>
    <row r="34">
      <c r="A34" s="276"/>
      <c r="B34" s="276"/>
      <c r="C34" s="277"/>
      <c r="M34" s="280"/>
    </row>
    <row r="35">
      <c r="A35" s="276"/>
      <c r="B35" s="276"/>
      <c r="C35" s="277"/>
      <c r="M35" s="280"/>
    </row>
    <row r="36">
      <c r="A36" s="276"/>
      <c r="B36" s="276"/>
      <c r="C36" s="277"/>
      <c r="M36" s="280"/>
    </row>
    <row r="37">
      <c r="A37" s="276"/>
      <c r="B37" s="276"/>
      <c r="C37" s="277"/>
      <c r="M37" s="280"/>
    </row>
    <row r="38">
      <c r="A38" s="276"/>
      <c r="B38" s="276"/>
      <c r="C38" s="277"/>
      <c r="M38" s="280"/>
    </row>
    <row r="39">
      <c r="A39" s="276"/>
      <c r="B39" s="276"/>
      <c r="C39" s="277"/>
      <c r="M39" s="280"/>
    </row>
    <row r="40">
      <c r="A40" s="276"/>
      <c r="B40" s="276"/>
      <c r="C40" s="277"/>
      <c r="M40" s="280"/>
    </row>
    <row r="41">
      <c r="A41" s="276"/>
      <c r="B41" s="276"/>
      <c r="C41" s="277"/>
      <c r="M41" s="280"/>
    </row>
    <row r="42">
      <c r="A42" s="276"/>
      <c r="B42" s="276"/>
      <c r="C42" s="277"/>
      <c r="M42" s="280"/>
    </row>
    <row r="43">
      <c r="A43" s="276"/>
      <c r="B43" s="276"/>
      <c r="C43" s="277"/>
      <c r="M43" s="280"/>
    </row>
    <row r="44">
      <c r="A44" s="276"/>
      <c r="B44" s="276"/>
      <c r="C44" s="277"/>
      <c r="M44" s="280"/>
    </row>
    <row r="45">
      <c r="A45" s="276"/>
      <c r="B45" s="276"/>
      <c r="C45" s="277"/>
      <c r="M45" s="280"/>
    </row>
    <row r="46">
      <c r="A46" s="276"/>
      <c r="B46" s="276"/>
      <c r="C46" s="277"/>
      <c r="M46" s="280"/>
    </row>
    <row r="47">
      <c r="A47" s="276"/>
      <c r="B47" s="276"/>
      <c r="C47" s="277"/>
      <c r="M47" s="280"/>
    </row>
    <row r="48">
      <c r="A48" s="276"/>
      <c r="B48" s="276"/>
      <c r="C48" s="277"/>
      <c r="M48" s="280"/>
    </row>
    <row r="49">
      <c r="A49" s="276"/>
      <c r="B49" s="276"/>
      <c r="C49" s="277"/>
      <c r="M49" s="280"/>
    </row>
    <row r="50">
      <c r="A50" s="276"/>
      <c r="B50" s="276"/>
      <c r="C50" s="277"/>
      <c r="M50" s="280"/>
    </row>
    <row r="51">
      <c r="A51" s="276"/>
      <c r="B51" s="276"/>
      <c r="C51" s="277"/>
      <c r="M51" s="280"/>
    </row>
    <row r="52">
      <c r="A52" s="276"/>
      <c r="B52" s="276"/>
      <c r="C52" s="277"/>
      <c r="M52" s="280"/>
    </row>
    <row r="53">
      <c r="A53" s="276"/>
      <c r="B53" s="276"/>
      <c r="C53" s="277"/>
      <c r="M53" s="280"/>
    </row>
    <row r="54">
      <c r="A54" s="276"/>
      <c r="B54" s="276"/>
      <c r="C54" s="277"/>
      <c r="M54" s="280"/>
    </row>
    <row r="55">
      <c r="A55" s="276"/>
      <c r="B55" s="276"/>
      <c r="C55" s="277"/>
      <c r="M55" s="280"/>
    </row>
    <row r="56">
      <c r="A56" s="276"/>
      <c r="B56" s="276"/>
      <c r="C56" s="277"/>
      <c r="M56" s="280"/>
    </row>
    <row r="57">
      <c r="A57" s="276"/>
      <c r="B57" s="276"/>
      <c r="C57" s="277"/>
      <c r="M57" s="280"/>
    </row>
    <row r="58">
      <c r="A58" s="276"/>
      <c r="B58" s="276"/>
      <c r="C58" s="277"/>
      <c r="M58" s="280"/>
    </row>
    <row r="59">
      <c r="A59" s="276"/>
      <c r="B59" s="276"/>
      <c r="C59" s="277"/>
      <c r="M59" s="280"/>
    </row>
    <row r="60">
      <c r="A60" s="276"/>
      <c r="B60" s="276"/>
      <c r="C60" s="277"/>
      <c r="M60" s="280"/>
    </row>
    <row r="61">
      <c r="A61" s="276"/>
      <c r="B61" s="276"/>
      <c r="C61" s="277"/>
      <c r="M61" s="280"/>
    </row>
    <row r="62">
      <c r="A62" s="276"/>
      <c r="B62" s="276"/>
      <c r="C62" s="277"/>
      <c r="M62" s="280"/>
    </row>
    <row r="63">
      <c r="A63" s="276"/>
      <c r="B63" s="276"/>
      <c r="C63" s="277"/>
      <c r="M63" s="280"/>
    </row>
    <row r="64">
      <c r="A64" s="276"/>
      <c r="B64" s="276"/>
      <c r="C64" s="277"/>
      <c r="M64" s="280"/>
    </row>
    <row r="65">
      <c r="A65" s="276"/>
      <c r="B65" s="276"/>
      <c r="C65" s="277"/>
      <c r="M65" s="280"/>
    </row>
    <row r="66">
      <c r="A66" s="276"/>
      <c r="B66" s="276"/>
      <c r="C66" s="277"/>
      <c r="M66" s="280"/>
    </row>
    <row r="67">
      <c r="A67" s="276"/>
      <c r="B67" s="276"/>
      <c r="C67" s="277"/>
      <c r="M67" s="280"/>
    </row>
    <row r="68">
      <c r="A68" s="276"/>
      <c r="B68" s="276"/>
      <c r="C68" s="277"/>
      <c r="M68" s="280"/>
    </row>
    <row r="69">
      <c r="A69" s="276"/>
      <c r="B69" s="276"/>
      <c r="C69" s="277"/>
      <c r="M69" s="280"/>
    </row>
    <row r="70">
      <c r="A70" s="276"/>
      <c r="B70" s="276"/>
      <c r="C70" s="277"/>
      <c r="M70" s="280"/>
    </row>
    <row r="71">
      <c r="A71" s="276"/>
      <c r="B71" s="276"/>
      <c r="C71" s="277"/>
      <c r="M71" s="280"/>
    </row>
    <row r="72">
      <c r="A72" s="276"/>
      <c r="B72" s="276"/>
      <c r="C72" s="277"/>
      <c r="M72" s="280"/>
    </row>
    <row r="73">
      <c r="A73" s="276"/>
      <c r="B73" s="276"/>
      <c r="C73" s="277"/>
      <c r="M73" s="280"/>
    </row>
    <row r="74">
      <c r="A74" s="276"/>
      <c r="B74" s="276"/>
      <c r="C74" s="277"/>
      <c r="M74" s="280"/>
    </row>
    <row r="75">
      <c r="A75" s="276"/>
      <c r="B75" s="276"/>
      <c r="C75" s="277"/>
      <c r="M75" s="280"/>
    </row>
    <row r="76">
      <c r="A76" s="276"/>
      <c r="B76" s="276"/>
      <c r="C76" s="277"/>
      <c r="M76" s="280"/>
    </row>
    <row r="77">
      <c r="A77" s="276"/>
      <c r="B77" s="276"/>
      <c r="C77" s="277"/>
      <c r="M77" s="280"/>
    </row>
    <row r="78">
      <c r="A78" s="276"/>
      <c r="B78" s="276"/>
      <c r="C78" s="277"/>
      <c r="M78" s="280"/>
    </row>
    <row r="79">
      <c r="A79" s="276"/>
      <c r="B79" s="276"/>
      <c r="C79" s="277"/>
      <c r="M79" s="280"/>
    </row>
    <row r="80">
      <c r="A80" s="276"/>
      <c r="B80" s="276"/>
      <c r="C80" s="277"/>
      <c r="M80" s="280"/>
    </row>
    <row r="81">
      <c r="A81" s="276"/>
      <c r="B81" s="276"/>
      <c r="C81" s="277"/>
      <c r="M81" s="280"/>
    </row>
    <row r="82">
      <c r="A82" s="276"/>
      <c r="B82" s="276"/>
      <c r="C82" s="277"/>
      <c r="M82" s="280"/>
    </row>
    <row r="83">
      <c r="A83" s="276"/>
      <c r="B83" s="276"/>
      <c r="C83" s="277"/>
      <c r="M83" s="280"/>
    </row>
    <row r="84">
      <c r="A84" s="276"/>
      <c r="B84" s="276"/>
      <c r="C84" s="277"/>
      <c r="M84" s="280"/>
    </row>
    <row r="85">
      <c r="A85" s="276"/>
      <c r="B85" s="276"/>
      <c r="C85" s="277"/>
      <c r="M85" s="280"/>
    </row>
    <row r="86">
      <c r="A86" s="276"/>
      <c r="B86" s="276"/>
      <c r="C86" s="277"/>
      <c r="M86" s="280"/>
    </row>
    <row r="87">
      <c r="A87" s="276"/>
      <c r="B87" s="276"/>
      <c r="C87" s="277"/>
      <c r="M87" s="280"/>
    </row>
    <row r="88">
      <c r="A88" s="276"/>
      <c r="B88" s="276"/>
      <c r="C88" s="277"/>
      <c r="M88" s="280"/>
    </row>
    <row r="89">
      <c r="A89" s="276"/>
      <c r="B89" s="276"/>
      <c r="C89" s="277"/>
      <c r="M89" s="280"/>
    </row>
    <row r="90">
      <c r="A90" s="276"/>
      <c r="B90" s="276"/>
      <c r="C90" s="277"/>
      <c r="M90" s="280"/>
    </row>
    <row r="91">
      <c r="A91" s="276"/>
      <c r="B91" s="276"/>
      <c r="C91" s="277"/>
      <c r="M91" s="280"/>
    </row>
    <row r="92">
      <c r="A92" s="276"/>
      <c r="B92" s="276"/>
      <c r="C92" s="277"/>
      <c r="M92" s="280"/>
    </row>
    <row r="93">
      <c r="A93" s="276"/>
      <c r="B93" s="276"/>
      <c r="C93" s="277"/>
      <c r="M93" s="280"/>
    </row>
    <row r="94">
      <c r="A94" s="276"/>
      <c r="B94" s="276"/>
      <c r="C94" s="277"/>
      <c r="M94" s="280"/>
    </row>
    <row r="95">
      <c r="A95" s="276"/>
      <c r="B95" s="276"/>
      <c r="C95" s="277"/>
      <c r="M95" s="280"/>
    </row>
    <row r="96">
      <c r="A96" s="276"/>
      <c r="B96" s="276"/>
      <c r="C96" s="277"/>
      <c r="M96" s="280"/>
    </row>
    <row r="97">
      <c r="A97" s="276"/>
      <c r="B97" s="276"/>
      <c r="C97" s="277"/>
      <c r="M97" s="280"/>
    </row>
    <row r="98">
      <c r="A98" s="276"/>
      <c r="B98" s="276"/>
      <c r="C98" s="277"/>
      <c r="M98" s="280"/>
    </row>
    <row r="99">
      <c r="A99" s="276"/>
      <c r="B99" s="276"/>
      <c r="C99" s="277"/>
      <c r="M99" s="280"/>
    </row>
    <row r="100">
      <c r="A100" s="276"/>
      <c r="B100" s="276"/>
      <c r="C100" s="277"/>
      <c r="M100" s="280"/>
    </row>
    <row r="101">
      <c r="A101" s="276"/>
      <c r="B101" s="276"/>
      <c r="C101" s="277"/>
      <c r="M101" s="280"/>
    </row>
    <row r="102">
      <c r="A102" s="276"/>
      <c r="B102" s="276"/>
      <c r="C102" s="277"/>
      <c r="M102" s="280"/>
    </row>
    <row r="103">
      <c r="A103" s="276"/>
      <c r="B103" s="276"/>
      <c r="C103" s="277"/>
      <c r="M103" s="280"/>
    </row>
    <row r="104">
      <c r="A104" s="276"/>
      <c r="B104" s="276"/>
      <c r="C104" s="277"/>
      <c r="M104" s="280"/>
    </row>
    <row r="105">
      <c r="A105" s="276"/>
      <c r="B105" s="276"/>
      <c r="C105" s="277"/>
      <c r="M105" s="280"/>
    </row>
    <row r="106">
      <c r="A106" s="276"/>
      <c r="B106" s="276"/>
      <c r="C106" s="277"/>
      <c r="M106" s="280"/>
    </row>
    <row r="107">
      <c r="A107" s="276"/>
      <c r="B107" s="276"/>
      <c r="C107" s="277"/>
      <c r="M107" s="280"/>
    </row>
    <row r="108">
      <c r="A108" s="276"/>
      <c r="B108" s="276"/>
      <c r="C108" s="277"/>
      <c r="M108" s="280"/>
    </row>
    <row r="109">
      <c r="A109" s="276"/>
      <c r="B109" s="276"/>
      <c r="C109" s="277"/>
      <c r="M109" s="280"/>
    </row>
    <row r="110">
      <c r="A110" s="276"/>
      <c r="B110" s="276"/>
      <c r="C110" s="277"/>
      <c r="M110" s="280"/>
    </row>
    <row r="111">
      <c r="A111" s="276"/>
      <c r="B111" s="276"/>
      <c r="C111" s="277"/>
      <c r="M111" s="280"/>
    </row>
    <row r="112">
      <c r="A112" s="276"/>
      <c r="B112" s="276"/>
      <c r="C112" s="277"/>
      <c r="M112" s="280"/>
    </row>
    <row r="113">
      <c r="A113" s="276"/>
      <c r="B113" s="276"/>
      <c r="C113" s="277"/>
      <c r="M113" s="280"/>
    </row>
    <row r="114">
      <c r="A114" s="276"/>
      <c r="B114" s="276"/>
      <c r="C114" s="277"/>
      <c r="M114" s="280"/>
    </row>
    <row r="115">
      <c r="A115" s="276"/>
      <c r="B115" s="276"/>
      <c r="C115" s="277"/>
      <c r="M115" s="280"/>
    </row>
    <row r="116">
      <c r="A116" s="276"/>
      <c r="B116" s="276"/>
      <c r="C116" s="277"/>
      <c r="M116" s="280"/>
    </row>
    <row r="117">
      <c r="A117" s="276"/>
      <c r="B117" s="276"/>
      <c r="C117" s="277"/>
      <c r="M117" s="280"/>
    </row>
    <row r="118">
      <c r="A118" s="276"/>
      <c r="B118" s="276"/>
      <c r="C118" s="277"/>
      <c r="M118" s="280"/>
    </row>
    <row r="119">
      <c r="A119" s="276"/>
      <c r="B119" s="276"/>
      <c r="C119" s="277"/>
      <c r="M119" s="280"/>
    </row>
    <row r="120">
      <c r="A120" s="276"/>
      <c r="B120" s="276"/>
      <c r="C120" s="277"/>
      <c r="M120" s="280"/>
    </row>
    <row r="121">
      <c r="A121" s="276"/>
      <c r="B121" s="276"/>
      <c r="C121" s="277"/>
      <c r="M121" s="280"/>
    </row>
    <row r="122">
      <c r="A122" s="276"/>
      <c r="B122" s="276"/>
      <c r="C122" s="277"/>
      <c r="M122" s="280"/>
    </row>
    <row r="123">
      <c r="A123" s="276"/>
      <c r="B123" s="276"/>
      <c r="C123" s="277"/>
      <c r="M123" s="280"/>
    </row>
    <row r="124">
      <c r="A124" s="276"/>
      <c r="B124" s="276"/>
      <c r="C124" s="277"/>
      <c r="M124" s="280"/>
    </row>
    <row r="125">
      <c r="A125" s="276"/>
      <c r="B125" s="276"/>
      <c r="C125" s="277"/>
      <c r="M125" s="280"/>
    </row>
    <row r="126">
      <c r="A126" s="276"/>
      <c r="B126" s="276"/>
      <c r="C126" s="277"/>
      <c r="M126" s="280"/>
    </row>
    <row r="127">
      <c r="A127" s="276"/>
      <c r="B127" s="276"/>
      <c r="C127" s="277"/>
      <c r="M127" s="280"/>
    </row>
    <row r="128">
      <c r="A128" s="276"/>
      <c r="B128" s="276"/>
      <c r="C128" s="277"/>
      <c r="M128" s="280"/>
    </row>
    <row r="129">
      <c r="A129" s="276"/>
      <c r="B129" s="276"/>
      <c r="C129" s="277"/>
      <c r="M129" s="280"/>
    </row>
    <row r="130">
      <c r="A130" s="276"/>
      <c r="B130" s="276"/>
      <c r="C130" s="277"/>
      <c r="M130" s="280"/>
    </row>
    <row r="131">
      <c r="A131" s="276"/>
      <c r="B131" s="276"/>
      <c r="C131" s="277"/>
      <c r="M131" s="280"/>
    </row>
    <row r="132">
      <c r="A132" s="276"/>
      <c r="B132" s="276"/>
      <c r="C132" s="277"/>
      <c r="M132" s="280"/>
    </row>
    <row r="133">
      <c r="A133" s="276"/>
      <c r="B133" s="276"/>
      <c r="C133" s="277"/>
      <c r="M133" s="280"/>
    </row>
    <row r="134">
      <c r="A134" s="276"/>
      <c r="B134" s="276"/>
      <c r="C134" s="277"/>
      <c r="M134" s="280"/>
    </row>
    <row r="135">
      <c r="A135" s="276"/>
      <c r="B135" s="276"/>
      <c r="C135" s="277"/>
      <c r="M135" s="280"/>
    </row>
    <row r="136">
      <c r="A136" s="276"/>
      <c r="B136" s="276"/>
      <c r="C136" s="277"/>
      <c r="M136" s="280"/>
    </row>
    <row r="137">
      <c r="A137" s="276"/>
      <c r="B137" s="276"/>
      <c r="C137" s="277"/>
      <c r="M137" s="280"/>
    </row>
    <row r="138">
      <c r="A138" s="276"/>
      <c r="B138" s="276"/>
      <c r="C138" s="277"/>
      <c r="M138" s="280"/>
    </row>
    <row r="139">
      <c r="A139" s="276"/>
      <c r="B139" s="276"/>
      <c r="C139" s="277"/>
      <c r="M139" s="280"/>
    </row>
    <row r="140">
      <c r="A140" s="276"/>
      <c r="B140" s="276"/>
      <c r="C140" s="277"/>
      <c r="M140" s="280"/>
    </row>
    <row r="141">
      <c r="A141" s="276"/>
      <c r="B141" s="276"/>
      <c r="C141" s="277"/>
      <c r="M141" s="280"/>
    </row>
    <row r="142">
      <c r="A142" s="276"/>
      <c r="B142" s="276"/>
      <c r="C142" s="277"/>
      <c r="M142" s="280"/>
    </row>
    <row r="143">
      <c r="A143" s="276"/>
      <c r="B143" s="276"/>
      <c r="C143" s="277"/>
      <c r="M143" s="280"/>
    </row>
    <row r="144">
      <c r="A144" s="276"/>
      <c r="B144" s="276"/>
      <c r="C144" s="277"/>
      <c r="M144" s="280"/>
    </row>
    <row r="145">
      <c r="A145" s="276"/>
      <c r="B145" s="276"/>
      <c r="C145" s="277"/>
      <c r="M145" s="280"/>
    </row>
    <row r="146">
      <c r="A146" s="276"/>
      <c r="B146" s="276"/>
      <c r="C146" s="277"/>
      <c r="M146" s="280"/>
    </row>
    <row r="147">
      <c r="A147" s="276"/>
      <c r="B147" s="276"/>
      <c r="C147" s="277"/>
      <c r="M147" s="280"/>
    </row>
    <row r="148">
      <c r="A148" s="276"/>
      <c r="B148" s="276"/>
      <c r="C148" s="277"/>
      <c r="M148" s="280"/>
    </row>
    <row r="149">
      <c r="A149" s="276"/>
      <c r="B149" s="276"/>
      <c r="C149" s="277"/>
      <c r="M149" s="280"/>
    </row>
    <row r="150">
      <c r="A150" s="276"/>
      <c r="B150" s="276"/>
      <c r="C150" s="277"/>
      <c r="M150" s="280"/>
    </row>
    <row r="151">
      <c r="A151" s="276"/>
      <c r="B151" s="276"/>
      <c r="C151" s="277"/>
      <c r="M151" s="280"/>
    </row>
    <row r="152">
      <c r="A152" s="276"/>
      <c r="B152" s="276"/>
      <c r="C152" s="277"/>
      <c r="M152" s="280"/>
    </row>
    <row r="153">
      <c r="A153" s="276"/>
      <c r="B153" s="276"/>
      <c r="C153" s="277"/>
      <c r="M153" s="280"/>
    </row>
    <row r="154">
      <c r="A154" s="276"/>
      <c r="B154" s="276"/>
      <c r="C154" s="277"/>
      <c r="M154" s="280"/>
    </row>
    <row r="155">
      <c r="A155" s="276"/>
      <c r="B155" s="276"/>
      <c r="C155" s="277"/>
      <c r="M155" s="280"/>
    </row>
    <row r="156">
      <c r="A156" s="276"/>
      <c r="B156" s="276"/>
      <c r="C156" s="277"/>
      <c r="M156" s="280"/>
    </row>
    <row r="157">
      <c r="A157" s="276"/>
      <c r="B157" s="276"/>
      <c r="C157" s="277"/>
      <c r="M157" s="280"/>
    </row>
    <row r="158">
      <c r="A158" s="276"/>
      <c r="B158" s="276"/>
      <c r="C158" s="277"/>
      <c r="M158" s="280"/>
    </row>
    <row r="159">
      <c r="A159" s="276"/>
      <c r="B159" s="276"/>
      <c r="C159" s="277"/>
      <c r="M159" s="280"/>
    </row>
    <row r="160">
      <c r="A160" s="276"/>
      <c r="B160" s="276"/>
      <c r="C160" s="277"/>
      <c r="M160" s="280"/>
    </row>
    <row r="161">
      <c r="A161" s="276"/>
      <c r="B161" s="276"/>
      <c r="C161" s="277"/>
      <c r="M161" s="280"/>
    </row>
    <row r="162">
      <c r="A162" s="276"/>
      <c r="B162" s="276"/>
      <c r="C162" s="277"/>
      <c r="M162" s="280"/>
    </row>
    <row r="163">
      <c r="A163" s="276"/>
      <c r="B163" s="276"/>
      <c r="C163" s="277"/>
      <c r="M163" s="280"/>
    </row>
    <row r="164">
      <c r="A164" s="276"/>
      <c r="B164" s="276"/>
      <c r="C164" s="277"/>
      <c r="M164" s="280"/>
    </row>
    <row r="165">
      <c r="A165" s="276"/>
      <c r="B165" s="276"/>
      <c r="C165" s="277"/>
      <c r="M165" s="280"/>
    </row>
    <row r="166">
      <c r="A166" s="276"/>
      <c r="B166" s="276"/>
      <c r="C166" s="277"/>
      <c r="M166" s="280"/>
    </row>
    <row r="167">
      <c r="A167" s="276"/>
      <c r="B167" s="276"/>
      <c r="C167" s="277"/>
      <c r="M167" s="280"/>
    </row>
    <row r="168">
      <c r="A168" s="276"/>
      <c r="B168" s="276"/>
      <c r="C168" s="277"/>
      <c r="M168" s="280"/>
    </row>
    <row r="169">
      <c r="A169" s="276"/>
      <c r="B169" s="276"/>
      <c r="C169" s="277"/>
      <c r="M169" s="280"/>
    </row>
    <row r="170">
      <c r="A170" s="276"/>
      <c r="B170" s="276"/>
      <c r="C170" s="277"/>
      <c r="M170" s="280"/>
    </row>
    <row r="171">
      <c r="A171" s="276"/>
      <c r="B171" s="276"/>
      <c r="C171" s="277"/>
      <c r="M171" s="280"/>
    </row>
    <row r="172">
      <c r="A172" s="276"/>
      <c r="B172" s="276"/>
      <c r="C172" s="277"/>
      <c r="M172" s="280"/>
    </row>
    <row r="173">
      <c r="A173" s="276"/>
      <c r="B173" s="276"/>
      <c r="C173" s="277"/>
      <c r="M173" s="280"/>
    </row>
    <row r="174">
      <c r="A174" s="276"/>
      <c r="B174" s="276"/>
      <c r="C174" s="277"/>
      <c r="M174" s="280"/>
    </row>
    <row r="175">
      <c r="A175" s="276"/>
      <c r="B175" s="276"/>
      <c r="C175" s="277"/>
      <c r="M175" s="280"/>
    </row>
    <row r="176">
      <c r="A176" s="276"/>
      <c r="B176" s="276"/>
      <c r="C176" s="277"/>
      <c r="M176" s="280"/>
    </row>
    <row r="177">
      <c r="A177" s="276"/>
      <c r="B177" s="276"/>
      <c r="C177" s="277"/>
      <c r="M177" s="280"/>
    </row>
    <row r="178">
      <c r="A178" s="276"/>
      <c r="B178" s="276"/>
      <c r="C178" s="277"/>
      <c r="M178" s="280"/>
    </row>
    <row r="179">
      <c r="A179" s="276"/>
      <c r="B179" s="276"/>
      <c r="C179" s="277"/>
      <c r="M179" s="280"/>
    </row>
    <row r="180">
      <c r="A180" s="276"/>
      <c r="B180" s="276"/>
      <c r="C180" s="277"/>
      <c r="M180" s="280"/>
    </row>
    <row r="181">
      <c r="A181" s="276"/>
      <c r="B181" s="276"/>
      <c r="C181" s="277"/>
      <c r="M181" s="280"/>
    </row>
    <row r="182">
      <c r="A182" s="276"/>
      <c r="B182" s="276"/>
      <c r="C182" s="277"/>
      <c r="M182" s="280"/>
    </row>
    <row r="183">
      <c r="A183" s="276"/>
      <c r="B183" s="276"/>
      <c r="C183" s="277"/>
      <c r="M183" s="280"/>
    </row>
    <row r="184">
      <c r="A184" s="276"/>
      <c r="B184" s="276"/>
      <c r="C184" s="277"/>
      <c r="M184" s="280"/>
    </row>
    <row r="185">
      <c r="A185" s="276"/>
      <c r="B185" s="276"/>
      <c r="C185" s="277"/>
      <c r="M185" s="280"/>
    </row>
    <row r="186">
      <c r="A186" s="276"/>
      <c r="B186" s="276"/>
      <c r="C186" s="277"/>
      <c r="M186" s="280"/>
    </row>
    <row r="187">
      <c r="A187" s="276"/>
      <c r="B187" s="276"/>
      <c r="C187" s="277"/>
      <c r="M187" s="280"/>
    </row>
    <row r="188">
      <c r="A188" s="276"/>
      <c r="B188" s="276"/>
      <c r="C188" s="277"/>
      <c r="M188" s="280"/>
    </row>
    <row r="189">
      <c r="A189" s="276"/>
      <c r="B189" s="276"/>
      <c r="C189" s="277"/>
      <c r="M189" s="280"/>
    </row>
    <row r="190">
      <c r="A190" s="276"/>
      <c r="B190" s="276"/>
      <c r="C190" s="277"/>
      <c r="M190" s="280"/>
    </row>
    <row r="191">
      <c r="A191" s="276"/>
      <c r="B191" s="276"/>
      <c r="C191" s="277"/>
      <c r="M191" s="280"/>
    </row>
    <row r="192">
      <c r="A192" s="276"/>
      <c r="B192" s="276"/>
      <c r="C192" s="277"/>
      <c r="M192" s="280"/>
    </row>
    <row r="193">
      <c r="A193" s="276"/>
      <c r="B193" s="276"/>
      <c r="C193" s="277"/>
      <c r="M193" s="280"/>
    </row>
    <row r="194">
      <c r="A194" s="276"/>
      <c r="B194" s="276"/>
      <c r="C194" s="277"/>
      <c r="M194" s="280"/>
    </row>
    <row r="195">
      <c r="A195" s="276"/>
      <c r="B195" s="276"/>
      <c r="C195" s="277"/>
      <c r="M195" s="280"/>
    </row>
    <row r="196">
      <c r="A196" s="276"/>
      <c r="B196" s="276"/>
      <c r="C196" s="277"/>
      <c r="M196" s="280"/>
    </row>
    <row r="197">
      <c r="A197" s="276"/>
      <c r="B197" s="276"/>
      <c r="C197" s="277"/>
      <c r="M197" s="280"/>
    </row>
    <row r="198">
      <c r="A198" s="276"/>
      <c r="B198" s="276"/>
      <c r="C198" s="277"/>
      <c r="M198" s="280"/>
    </row>
    <row r="199">
      <c r="A199" s="276"/>
      <c r="B199" s="276"/>
      <c r="C199" s="277"/>
      <c r="M199" s="280"/>
    </row>
    <row r="200">
      <c r="A200" s="276"/>
      <c r="B200" s="276"/>
      <c r="C200" s="277"/>
      <c r="M200" s="280"/>
    </row>
    <row r="201">
      <c r="A201" s="276"/>
      <c r="B201" s="276"/>
      <c r="C201" s="277"/>
      <c r="M201" s="280"/>
    </row>
    <row r="202">
      <c r="A202" s="276"/>
      <c r="B202" s="276"/>
      <c r="C202" s="277"/>
      <c r="M202" s="280"/>
    </row>
    <row r="203">
      <c r="A203" s="276"/>
      <c r="B203" s="276"/>
      <c r="C203" s="277"/>
      <c r="M203" s="280"/>
    </row>
    <row r="204">
      <c r="A204" s="276"/>
      <c r="B204" s="276"/>
      <c r="C204" s="277"/>
      <c r="M204" s="280"/>
    </row>
    <row r="205">
      <c r="A205" s="276"/>
      <c r="B205" s="276"/>
      <c r="C205" s="277"/>
      <c r="M205" s="280"/>
    </row>
    <row r="206">
      <c r="A206" s="276"/>
      <c r="B206" s="276"/>
      <c r="C206" s="277"/>
      <c r="M206" s="280"/>
    </row>
    <row r="207">
      <c r="A207" s="276"/>
      <c r="B207" s="276"/>
      <c r="C207" s="277"/>
      <c r="M207" s="280"/>
    </row>
    <row r="208">
      <c r="A208" s="276"/>
      <c r="B208" s="276"/>
      <c r="C208" s="277"/>
      <c r="M208" s="280"/>
    </row>
    <row r="209">
      <c r="A209" s="276"/>
      <c r="B209" s="276"/>
      <c r="C209" s="277"/>
      <c r="M209" s="280"/>
    </row>
    <row r="210">
      <c r="A210" s="276"/>
      <c r="B210" s="276"/>
      <c r="C210" s="277"/>
      <c r="M210" s="280"/>
    </row>
    <row r="211">
      <c r="A211" s="276"/>
      <c r="B211" s="276"/>
      <c r="C211" s="277"/>
      <c r="M211" s="280"/>
    </row>
    <row r="212">
      <c r="A212" s="276"/>
      <c r="B212" s="276"/>
      <c r="C212" s="277"/>
      <c r="M212" s="280"/>
    </row>
    <row r="213">
      <c r="A213" s="276"/>
      <c r="B213" s="276"/>
      <c r="C213" s="277"/>
      <c r="M213" s="280"/>
    </row>
    <row r="214">
      <c r="A214" s="276"/>
      <c r="B214" s="276"/>
      <c r="C214" s="277"/>
      <c r="M214" s="280"/>
    </row>
    <row r="215">
      <c r="A215" s="276"/>
      <c r="B215" s="276"/>
      <c r="C215" s="277"/>
      <c r="M215" s="280"/>
    </row>
    <row r="216">
      <c r="A216" s="276"/>
      <c r="B216" s="276"/>
      <c r="C216" s="277"/>
      <c r="M216" s="280"/>
    </row>
    <row r="217">
      <c r="A217" s="276"/>
      <c r="B217" s="276"/>
      <c r="C217" s="277"/>
      <c r="M217" s="280"/>
    </row>
    <row r="218">
      <c r="A218" s="276"/>
      <c r="B218" s="276"/>
      <c r="C218" s="277"/>
      <c r="M218" s="280"/>
    </row>
    <row r="219">
      <c r="A219" s="276"/>
      <c r="B219" s="276"/>
      <c r="C219" s="277"/>
      <c r="M219" s="280"/>
    </row>
    <row r="220">
      <c r="A220" s="276"/>
      <c r="B220" s="276"/>
      <c r="C220" s="277"/>
      <c r="M220" s="280"/>
    </row>
    <row r="221">
      <c r="A221" s="276"/>
      <c r="B221" s="276"/>
      <c r="C221" s="277"/>
      <c r="M221" s="280"/>
    </row>
    <row r="222">
      <c r="A222" s="276"/>
      <c r="B222" s="276"/>
      <c r="C222" s="277"/>
      <c r="M222" s="280"/>
    </row>
    <row r="223">
      <c r="A223" s="276"/>
      <c r="B223" s="276"/>
      <c r="C223" s="277"/>
      <c r="M223" s="280"/>
    </row>
    <row r="224">
      <c r="A224" s="276"/>
      <c r="B224" s="276"/>
      <c r="C224" s="277"/>
      <c r="M224" s="280"/>
    </row>
    <row r="225">
      <c r="A225" s="276"/>
      <c r="B225" s="276"/>
      <c r="C225" s="277"/>
      <c r="M225" s="280"/>
    </row>
    <row r="226">
      <c r="A226" s="276"/>
      <c r="B226" s="276"/>
      <c r="C226" s="277"/>
      <c r="M226" s="280"/>
    </row>
    <row r="227">
      <c r="A227" s="276"/>
      <c r="B227" s="276"/>
      <c r="C227" s="277"/>
      <c r="M227" s="280"/>
    </row>
    <row r="228">
      <c r="A228" s="276"/>
      <c r="B228" s="276"/>
      <c r="C228" s="277"/>
      <c r="M228" s="280"/>
    </row>
    <row r="229">
      <c r="A229" s="276"/>
      <c r="B229" s="276"/>
      <c r="C229" s="277"/>
      <c r="M229" s="280"/>
    </row>
    <row r="230">
      <c r="A230" s="276"/>
      <c r="B230" s="276"/>
      <c r="C230" s="277"/>
      <c r="M230" s="280"/>
    </row>
    <row r="231">
      <c r="A231" s="276"/>
      <c r="B231" s="276"/>
      <c r="C231" s="277"/>
      <c r="M231" s="280"/>
    </row>
    <row r="232">
      <c r="A232" s="276"/>
      <c r="B232" s="276"/>
      <c r="C232" s="277"/>
      <c r="M232" s="280"/>
    </row>
    <row r="233">
      <c r="A233" s="276"/>
      <c r="B233" s="276"/>
      <c r="C233" s="277"/>
      <c r="M233" s="280"/>
    </row>
    <row r="234">
      <c r="A234" s="276"/>
      <c r="B234" s="276"/>
      <c r="C234" s="277"/>
      <c r="M234" s="280"/>
    </row>
    <row r="235">
      <c r="A235" s="276"/>
      <c r="B235" s="276"/>
      <c r="C235" s="277"/>
      <c r="M235" s="280"/>
    </row>
    <row r="236">
      <c r="A236" s="276"/>
      <c r="B236" s="276"/>
      <c r="C236" s="277"/>
      <c r="M236" s="280"/>
    </row>
    <row r="237">
      <c r="A237" s="276"/>
      <c r="B237" s="276"/>
      <c r="C237" s="277"/>
      <c r="M237" s="280"/>
    </row>
    <row r="238">
      <c r="A238" s="276"/>
      <c r="B238" s="276"/>
      <c r="C238" s="277"/>
      <c r="M238" s="280"/>
    </row>
    <row r="239">
      <c r="A239" s="276"/>
      <c r="B239" s="276"/>
      <c r="C239" s="277"/>
      <c r="M239" s="280"/>
    </row>
    <row r="240">
      <c r="A240" s="276"/>
      <c r="B240" s="276"/>
      <c r="C240" s="277"/>
      <c r="M240" s="280"/>
    </row>
    <row r="241">
      <c r="A241" s="276"/>
      <c r="B241" s="276"/>
      <c r="C241" s="277"/>
      <c r="M241" s="280"/>
    </row>
    <row r="242">
      <c r="A242" s="276"/>
      <c r="B242" s="276"/>
      <c r="C242" s="277"/>
      <c r="M242" s="280"/>
    </row>
    <row r="243">
      <c r="A243" s="276"/>
      <c r="B243" s="276"/>
      <c r="C243" s="277"/>
      <c r="M243" s="280"/>
    </row>
    <row r="244">
      <c r="A244" s="276"/>
      <c r="B244" s="276"/>
      <c r="C244" s="277"/>
      <c r="M244" s="280"/>
    </row>
    <row r="245">
      <c r="A245" s="276"/>
      <c r="B245" s="276"/>
      <c r="C245" s="277"/>
      <c r="M245" s="280"/>
    </row>
    <row r="246">
      <c r="A246" s="276"/>
      <c r="B246" s="276"/>
      <c r="C246" s="277"/>
      <c r="M246" s="280"/>
    </row>
    <row r="247">
      <c r="A247" s="276"/>
      <c r="B247" s="276"/>
      <c r="C247" s="277"/>
      <c r="M247" s="280"/>
    </row>
    <row r="248">
      <c r="A248" s="276"/>
      <c r="B248" s="276"/>
      <c r="C248" s="277"/>
      <c r="M248" s="280"/>
    </row>
    <row r="249">
      <c r="A249" s="276"/>
      <c r="B249" s="276"/>
      <c r="C249" s="277"/>
      <c r="M249" s="280"/>
    </row>
    <row r="250">
      <c r="A250" s="276"/>
      <c r="B250" s="276"/>
      <c r="C250" s="277"/>
      <c r="M250" s="280"/>
    </row>
    <row r="251">
      <c r="A251" s="276"/>
      <c r="B251" s="276"/>
      <c r="C251" s="277"/>
      <c r="M251" s="280"/>
    </row>
    <row r="252">
      <c r="A252" s="276"/>
      <c r="B252" s="276"/>
      <c r="C252" s="277"/>
      <c r="M252" s="280"/>
    </row>
    <row r="253">
      <c r="A253" s="276"/>
      <c r="B253" s="276"/>
      <c r="C253" s="277"/>
      <c r="M253" s="280"/>
    </row>
    <row r="254">
      <c r="A254" s="276"/>
      <c r="B254" s="276"/>
      <c r="C254" s="277"/>
      <c r="M254" s="280"/>
    </row>
    <row r="255">
      <c r="A255" s="276"/>
      <c r="B255" s="276"/>
      <c r="C255" s="277"/>
      <c r="M255" s="280"/>
    </row>
    <row r="256">
      <c r="A256" s="276"/>
      <c r="B256" s="276"/>
      <c r="C256" s="277"/>
      <c r="M256" s="280"/>
    </row>
    <row r="257">
      <c r="A257" s="276"/>
      <c r="B257" s="276"/>
      <c r="C257" s="277"/>
      <c r="M257" s="280"/>
    </row>
    <row r="258">
      <c r="A258" s="276"/>
      <c r="B258" s="276"/>
      <c r="C258" s="277"/>
      <c r="M258" s="280"/>
    </row>
    <row r="259">
      <c r="A259" s="276"/>
      <c r="B259" s="276"/>
      <c r="C259" s="277"/>
      <c r="M259" s="280"/>
    </row>
    <row r="260">
      <c r="A260" s="276"/>
      <c r="B260" s="276"/>
      <c r="C260" s="277"/>
      <c r="M260" s="280"/>
    </row>
    <row r="261">
      <c r="A261" s="276"/>
      <c r="B261" s="276"/>
      <c r="C261" s="277"/>
      <c r="M261" s="280"/>
    </row>
    <row r="262">
      <c r="A262" s="276"/>
      <c r="B262" s="276"/>
      <c r="C262" s="277"/>
      <c r="M262" s="280"/>
    </row>
    <row r="263">
      <c r="A263" s="276"/>
      <c r="B263" s="276"/>
      <c r="C263" s="277"/>
      <c r="M263" s="280"/>
    </row>
    <row r="264">
      <c r="A264" s="276"/>
      <c r="B264" s="276"/>
      <c r="C264" s="277"/>
      <c r="M264" s="280"/>
    </row>
    <row r="265">
      <c r="A265" s="276"/>
      <c r="B265" s="276"/>
      <c r="C265" s="277"/>
      <c r="M265" s="280"/>
    </row>
    <row r="266">
      <c r="A266" s="276"/>
      <c r="B266" s="276"/>
      <c r="C266" s="277"/>
      <c r="M266" s="280"/>
    </row>
    <row r="267">
      <c r="A267" s="276"/>
      <c r="B267" s="276"/>
      <c r="C267" s="277"/>
      <c r="M267" s="280"/>
    </row>
    <row r="268">
      <c r="A268" s="276"/>
      <c r="B268" s="276"/>
      <c r="C268" s="277"/>
      <c r="M268" s="280"/>
    </row>
    <row r="269">
      <c r="A269" s="276"/>
      <c r="B269" s="276"/>
      <c r="C269" s="277"/>
      <c r="M269" s="280"/>
    </row>
    <row r="270">
      <c r="A270" s="276"/>
      <c r="B270" s="276"/>
      <c r="C270" s="277"/>
      <c r="M270" s="280"/>
    </row>
    <row r="271">
      <c r="A271" s="276"/>
      <c r="B271" s="276"/>
      <c r="C271" s="277"/>
      <c r="M271" s="280"/>
    </row>
    <row r="272">
      <c r="A272" s="276"/>
      <c r="B272" s="276"/>
      <c r="C272" s="277"/>
      <c r="M272" s="280"/>
    </row>
    <row r="273">
      <c r="A273" s="276"/>
      <c r="B273" s="276"/>
      <c r="C273" s="277"/>
      <c r="M273" s="280"/>
    </row>
    <row r="274">
      <c r="A274" s="276"/>
      <c r="B274" s="276"/>
      <c r="C274" s="277"/>
      <c r="M274" s="280"/>
    </row>
    <row r="275">
      <c r="A275" s="276"/>
      <c r="B275" s="276"/>
      <c r="C275" s="277"/>
      <c r="M275" s="280"/>
    </row>
    <row r="276">
      <c r="A276" s="276"/>
      <c r="B276" s="276"/>
      <c r="C276" s="277"/>
      <c r="M276" s="280"/>
    </row>
    <row r="277">
      <c r="A277" s="276"/>
      <c r="B277" s="276"/>
      <c r="C277" s="277"/>
      <c r="M277" s="280"/>
    </row>
    <row r="278">
      <c r="A278" s="276"/>
      <c r="B278" s="276"/>
      <c r="C278" s="277"/>
      <c r="M278" s="280"/>
    </row>
    <row r="279">
      <c r="A279" s="276"/>
      <c r="B279" s="276"/>
      <c r="C279" s="277"/>
      <c r="M279" s="280"/>
    </row>
    <row r="280">
      <c r="A280" s="276"/>
      <c r="B280" s="276"/>
      <c r="C280" s="277"/>
      <c r="M280" s="280"/>
    </row>
    <row r="281">
      <c r="A281" s="276"/>
      <c r="B281" s="276"/>
      <c r="C281" s="277"/>
      <c r="M281" s="280"/>
    </row>
    <row r="282">
      <c r="A282" s="276"/>
      <c r="B282" s="276"/>
      <c r="C282" s="277"/>
      <c r="M282" s="280"/>
    </row>
    <row r="283">
      <c r="A283" s="276"/>
      <c r="B283" s="276"/>
      <c r="C283" s="277"/>
      <c r="M283" s="280"/>
    </row>
    <row r="284">
      <c r="A284" s="276"/>
      <c r="B284" s="276"/>
      <c r="C284" s="277"/>
      <c r="M284" s="280"/>
    </row>
    <row r="285">
      <c r="A285" s="276"/>
      <c r="B285" s="276"/>
      <c r="C285" s="277"/>
      <c r="M285" s="280"/>
    </row>
    <row r="286">
      <c r="A286" s="276"/>
      <c r="B286" s="276"/>
      <c r="C286" s="277"/>
      <c r="M286" s="280"/>
    </row>
    <row r="287">
      <c r="A287" s="276"/>
      <c r="B287" s="276"/>
      <c r="C287" s="277"/>
      <c r="M287" s="280"/>
    </row>
    <row r="288">
      <c r="A288" s="276"/>
      <c r="B288" s="276"/>
      <c r="C288" s="277"/>
      <c r="M288" s="280"/>
    </row>
    <row r="289">
      <c r="A289" s="276"/>
      <c r="B289" s="276"/>
      <c r="C289" s="277"/>
      <c r="M289" s="280"/>
    </row>
    <row r="290">
      <c r="A290" s="276"/>
      <c r="B290" s="276"/>
      <c r="C290" s="277"/>
      <c r="M290" s="280"/>
    </row>
    <row r="291">
      <c r="A291" s="276"/>
      <c r="B291" s="276"/>
      <c r="C291" s="277"/>
      <c r="M291" s="280"/>
    </row>
    <row r="292">
      <c r="A292" s="276"/>
      <c r="B292" s="276"/>
      <c r="C292" s="277"/>
      <c r="M292" s="280"/>
    </row>
    <row r="293">
      <c r="A293" s="276"/>
      <c r="B293" s="276"/>
      <c r="C293" s="277"/>
      <c r="M293" s="280"/>
    </row>
    <row r="294">
      <c r="A294" s="276"/>
      <c r="B294" s="276"/>
      <c r="C294" s="277"/>
      <c r="M294" s="280"/>
    </row>
    <row r="295">
      <c r="A295" s="276"/>
      <c r="B295" s="276"/>
      <c r="C295" s="277"/>
      <c r="M295" s="280"/>
    </row>
    <row r="296">
      <c r="A296" s="276"/>
      <c r="B296" s="276"/>
      <c r="C296" s="277"/>
      <c r="M296" s="280"/>
    </row>
    <row r="297">
      <c r="A297" s="276"/>
      <c r="B297" s="276"/>
      <c r="C297" s="277"/>
      <c r="M297" s="280"/>
    </row>
    <row r="298">
      <c r="A298" s="276"/>
      <c r="B298" s="276"/>
      <c r="C298" s="277"/>
      <c r="M298" s="280"/>
    </row>
    <row r="299">
      <c r="A299" s="276"/>
      <c r="B299" s="276"/>
      <c r="C299" s="277"/>
      <c r="M299" s="280"/>
    </row>
    <row r="300">
      <c r="A300" s="276"/>
      <c r="B300" s="276"/>
      <c r="C300" s="277"/>
      <c r="M300" s="280"/>
    </row>
    <row r="301">
      <c r="A301" s="276"/>
      <c r="B301" s="276"/>
      <c r="C301" s="277"/>
      <c r="M301" s="280"/>
    </row>
    <row r="302">
      <c r="A302" s="276"/>
      <c r="B302" s="276"/>
      <c r="C302" s="277"/>
      <c r="M302" s="280"/>
    </row>
    <row r="303">
      <c r="A303" s="276"/>
      <c r="B303" s="276"/>
      <c r="C303" s="277"/>
      <c r="M303" s="280"/>
    </row>
    <row r="304">
      <c r="A304" s="276"/>
      <c r="B304" s="276"/>
      <c r="C304" s="277"/>
      <c r="M304" s="280"/>
    </row>
    <row r="305">
      <c r="A305" s="276"/>
      <c r="B305" s="276"/>
      <c r="C305" s="277"/>
      <c r="M305" s="280"/>
    </row>
    <row r="306">
      <c r="A306" s="276"/>
      <c r="B306" s="276"/>
      <c r="C306" s="277"/>
      <c r="M306" s="280"/>
    </row>
    <row r="307">
      <c r="A307" s="276"/>
      <c r="B307" s="276"/>
      <c r="C307" s="277"/>
      <c r="M307" s="280"/>
    </row>
    <row r="308">
      <c r="A308" s="276"/>
      <c r="B308" s="276"/>
      <c r="C308" s="277"/>
      <c r="M308" s="280"/>
    </row>
    <row r="309">
      <c r="A309" s="276"/>
      <c r="B309" s="276"/>
      <c r="C309" s="277"/>
      <c r="M309" s="280"/>
    </row>
    <row r="310">
      <c r="A310" s="276"/>
      <c r="B310" s="276"/>
      <c r="C310" s="277"/>
      <c r="M310" s="280"/>
    </row>
    <row r="311">
      <c r="A311" s="276"/>
      <c r="B311" s="276"/>
      <c r="C311" s="277"/>
      <c r="M311" s="280"/>
    </row>
    <row r="312">
      <c r="A312" s="276"/>
      <c r="B312" s="276"/>
      <c r="C312" s="277"/>
      <c r="M312" s="280"/>
    </row>
    <row r="313">
      <c r="A313" s="276"/>
      <c r="B313" s="276"/>
      <c r="C313" s="277"/>
      <c r="M313" s="280"/>
    </row>
    <row r="314">
      <c r="A314" s="276"/>
      <c r="B314" s="276"/>
      <c r="C314" s="277"/>
      <c r="M314" s="280"/>
    </row>
    <row r="315">
      <c r="A315" s="276"/>
      <c r="B315" s="276"/>
      <c r="C315" s="277"/>
      <c r="M315" s="280"/>
    </row>
    <row r="316">
      <c r="A316" s="276"/>
      <c r="B316" s="276"/>
      <c r="C316" s="277"/>
      <c r="M316" s="280"/>
    </row>
    <row r="317">
      <c r="A317" s="276"/>
      <c r="B317" s="276"/>
      <c r="C317" s="277"/>
      <c r="M317" s="280"/>
    </row>
    <row r="318">
      <c r="A318" s="276"/>
      <c r="B318" s="276"/>
      <c r="C318" s="277"/>
      <c r="M318" s="280"/>
    </row>
    <row r="319">
      <c r="A319" s="276"/>
      <c r="B319" s="276"/>
      <c r="C319" s="277"/>
      <c r="M319" s="280"/>
    </row>
    <row r="320">
      <c r="A320" s="276"/>
      <c r="B320" s="276"/>
      <c r="C320" s="277"/>
      <c r="M320" s="280"/>
    </row>
    <row r="321">
      <c r="A321" s="276"/>
      <c r="B321" s="276"/>
      <c r="C321" s="277"/>
      <c r="M321" s="280"/>
    </row>
    <row r="322">
      <c r="A322" s="276"/>
      <c r="B322" s="276"/>
      <c r="C322" s="277"/>
      <c r="M322" s="280"/>
    </row>
    <row r="323">
      <c r="A323" s="276"/>
      <c r="B323" s="276"/>
      <c r="C323" s="277"/>
      <c r="M323" s="280"/>
    </row>
    <row r="324">
      <c r="A324" s="276"/>
      <c r="B324" s="276"/>
      <c r="C324" s="277"/>
      <c r="M324" s="280"/>
    </row>
    <row r="325">
      <c r="A325" s="276"/>
      <c r="B325" s="276"/>
      <c r="C325" s="277"/>
      <c r="M325" s="280"/>
    </row>
    <row r="326">
      <c r="A326" s="276"/>
      <c r="B326" s="276"/>
      <c r="C326" s="277"/>
      <c r="M326" s="280"/>
    </row>
    <row r="327">
      <c r="A327" s="276"/>
      <c r="B327" s="276"/>
      <c r="C327" s="277"/>
      <c r="M327" s="280"/>
    </row>
    <row r="328">
      <c r="A328" s="276"/>
      <c r="B328" s="276"/>
      <c r="C328" s="277"/>
      <c r="M328" s="280"/>
    </row>
    <row r="329">
      <c r="A329" s="276"/>
      <c r="B329" s="276"/>
      <c r="C329" s="277"/>
      <c r="M329" s="280"/>
    </row>
    <row r="330">
      <c r="A330" s="276"/>
      <c r="B330" s="276"/>
      <c r="C330" s="277"/>
      <c r="M330" s="280"/>
    </row>
    <row r="331">
      <c r="A331" s="276"/>
      <c r="B331" s="276"/>
      <c r="C331" s="277"/>
      <c r="M331" s="280"/>
    </row>
    <row r="332">
      <c r="A332" s="276"/>
      <c r="B332" s="276"/>
      <c r="C332" s="277"/>
      <c r="M332" s="280"/>
    </row>
    <row r="333">
      <c r="A333" s="276"/>
      <c r="B333" s="276"/>
      <c r="C333" s="277"/>
      <c r="M333" s="280"/>
    </row>
    <row r="334">
      <c r="A334" s="276"/>
      <c r="B334" s="276"/>
      <c r="C334" s="277"/>
      <c r="M334" s="280"/>
    </row>
    <row r="335">
      <c r="A335" s="276"/>
      <c r="B335" s="276"/>
      <c r="C335" s="277"/>
      <c r="M335" s="280"/>
    </row>
    <row r="336">
      <c r="A336" s="276"/>
      <c r="B336" s="276"/>
      <c r="C336" s="277"/>
      <c r="M336" s="280"/>
    </row>
    <row r="337">
      <c r="A337" s="276"/>
      <c r="B337" s="276"/>
      <c r="C337" s="277"/>
      <c r="M337" s="280"/>
    </row>
    <row r="338">
      <c r="A338" s="276"/>
      <c r="B338" s="276"/>
      <c r="C338" s="277"/>
      <c r="M338" s="280"/>
    </row>
    <row r="339">
      <c r="A339" s="276"/>
      <c r="B339" s="276"/>
      <c r="C339" s="277"/>
      <c r="M339" s="280"/>
    </row>
    <row r="340">
      <c r="A340" s="276"/>
      <c r="B340" s="276"/>
      <c r="C340" s="277"/>
      <c r="M340" s="280"/>
    </row>
    <row r="341">
      <c r="A341" s="276"/>
      <c r="B341" s="276"/>
      <c r="C341" s="277"/>
      <c r="M341" s="280"/>
    </row>
    <row r="342">
      <c r="A342" s="276"/>
      <c r="B342" s="276"/>
      <c r="C342" s="277"/>
      <c r="M342" s="280"/>
    </row>
    <row r="343">
      <c r="A343" s="276"/>
      <c r="B343" s="276"/>
      <c r="C343" s="277"/>
      <c r="M343" s="280"/>
    </row>
    <row r="344">
      <c r="A344" s="276"/>
      <c r="B344" s="276"/>
      <c r="C344" s="277"/>
      <c r="M344" s="280"/>
    </row>
    <row r="345">
      <c r="A345" s="276"/>
      <c r="B345" s="276"/>
      <c r="C345" s="277"/>
      <c r="M345" s="280"/>
    </row>
    <row r="346">
      <c r="A346" s="276"/>
      <c r="B346" s="276"/>
      <c r="C346" s="277"/>
      <c r="M346" s="280"/>
    </row>
    <row r="347">
      <c r="A347" s="276"/>
      <c r="B347" s="276"/>
      <c r="C347" s="277"/>
      <c r="M347" s="280"/>
    </row>
    <row r="348">
      <c r="A348" s="276"/>
      <c r="B348" s="276"/>
      <c r="C348" s="277"/>
      <c r="M348" s="280"/>
    </row>
    <row r="349">
      <c r="A349" s="276"/>
      <c r="B349" s="276"/>
      <c r="C349" s="277"/>
      <c r="M349" s="280"/>
    </row>
    <row r="350">
      <c r="A350" s="276"/>
      <c r="B350" s="276"/>
      <c r="C350" s="277"/>
      <c r="M350" s="280"/>
    </row>
    <row r="351">
      <c r="A351" s="276"/>
      <c r="B351" s="276"/>
      <c r="C351" s="277"/>
      <c r="M351" s="280"/>
    </row>
    <row r="352">
      <c r="A352" s="276"/>
      <c r="B352" s="276"/>
      <c r="C352" s="277"/>
      <c r="M352" s="280"/>
    </row>
    <row r="353">
      <c r="A353" s="276"/>
      <c r="B353" s="276"/>
      <c r="C353" s="277"/>
      <c r="M353" s="280"/>
    </row>
    <row r="354">
      <c r="A354" s="276"/>
      <c r="B354" s="276"/>
      <c r="C354" s="277"/>
      <c r="M354" s="280"/>
    </row>
    <row r="355">
      <c r="A355" s="276"/>
      <c r="B355" s="276"/>
      <c r="C355" s="277"/>
      <c r="M355" s="280"/>
    </row>
    <row r="356">
      <c r="A356" s="276"/>
      <c r="B356" s="276"/>
      <c r="C356" s="277"/>
      <c r="M356" s="280"/>
    </row>
    <row r="357">
      <c r="A357" s="276"/>
      <c r="B357" s="276"/>
      <c r="C357" s="277"/>
      <c r="M357" s="280"/>
    </row>
    <row r="358">
      <c r="A358" s="276"/>
      <c r="B358" s="276"/>
      <c r="C358" s="277"/>
      <c r="M358" s="280"/>
    </row>
    <row r="359">
      <c r="A359" s="276"/>
      <c r="B359" s="276"/>
      <c r="C359" s="277"/>
      <c r="M359" s="280"/>
    </row>
    <row r="360">
      <c r="A360" s="276"/>
      <c r="B360" s="276"/>
      <c r="C360" s="277"/>
      <c r="M360" s="280"/>
    </row>
    <row r="361">
      <c r="A361" s="276"/>
      <c r="B361" s="276"/>
      <c r="C361" s="277"/>
      <c r="M361" s="280"/>
    </row>
    <row r="362">
      <c r="A362" s="276"/>
      <c r="B362" s="276"/>
      <c r="C362" s="277"/>
      <c r="M362" s="280"/>
    </row>
    <row r="363">
      <c r="A363" s="276"/>
      <c r="B363" s="276"/>
      <c r="C363" s="277"/>
      <c r="M363" s="280"/>
    </row>
    <row r="364">
      <c r="A364" s="276"/>
      <c r="B364" s="276"/>
      <c r="C364" s="277"/>
      <c r="M364" s="280"/>
    </row>
    <row r="365">
      <c r="A365" s="276"/>
      <c r="B365" s="276"/>
      <c r="C365" s="277"/>
      <c r="M365" s="280"/>
    </row>
    <row r="366">
      <c r="A366" s="276"/>
      <c r="B366" s="276"/>
      <c r="C366" s="277"/>
      <c r="M366" s="280"/>
    </row>
    <row r="367">
      <c r="A367" s="276"/>
      <c r="B367" s="276"/>
      <c r="C367" s="277"/>
      <c r="M367" s="280"/>
    </row>
    <row r="368">
      <c r="A368" s="276"/>
      <c r="B368" s="276"/>
      <c r="C368" s="277"/>
      <c r="M368" s="280"/>
    </row>
    <row r="369">
      <c r="A369" s="276"/>
      <c r="B369" s="276"/>
      <c r="C369" s="277"/>
      <c r="M369" s="280"/>
    </row>
    <row r="370">
      <c r="A370" s="276"/>
      <c r="B370" s="276"/>
      <c r="C370" s="277"/>
      <c r="M370" s="280"/>
    </row>
    <row r="371">
      <c r="A371" s="276"/>
      <c r="B371" s="276"/>
      <c r="C371" s="277"/>
      <c r="M371" s="280"/>
    </row>
    <row r="372">
      <c r="A372" s="276"/>
      <c r="B372" s="276"/>
      <c r="C372" s="277"/>
      <c r="M372" s="280"/>
    </row>
    <row r="373">
      <c r="A373" s="276"/>
      <c r="B373" s="276"/>
      <c r="C373" s="277"/>
      <c r="M373" s="280"/>
    </row>
    <row r="374">
      <c r="A374" s="276"/>
      <c r="B374" s="276"/>
      <c r="C374" s="277"/>
      <c r="M374" s="280"/>
    </row>
    <row r="375">
      <c r="A375" s="276"/>
      <c r="B375" s="276"/>
      <c r="C375" s="277"/>
      <c r="M375" s="280"/>
    </row>
    <row r="376">
      <c r="A376" s="276"/>
      <c r="B376" s="276"/>
      <c r="C376" s="277"/>
      <c r="M376" s="280"/>
    </row>
    <row r="377">
      <c r="A377" s="276"/>
      <c r="B377" s="276"/>
      <c r="C377" s="277"/>
      <c r="M377" s="280"/>
    </row>
    <row r="378">
      <c r="A378" s="276"/>
      <c r="B378" s="276"/>
      <c r="C378" s="277"/>
      <c r="M378" s="280"/>
    </row>
    <row r="379">
      <c r="A379" s="276"/>
      <c r="B379" s="276"/>
      <c r="C379" s="277"/>
      <c r="M379" s="280"/>
    </row>
    <row r="380">
      <c r="A380" s="276"/>
      <c r="B380" s="276"/>
      <c r="C380" s="277"/>
      <c r="M380" s="280"/>
    </row>
    <row r="381">
      <c r="A381" s="276"/>
      <c r="B381" s="276"/>
      <c r="C381" s="277"/>
      <c r="M381" s="280"/>
    </row>
    <row r="382">
      <c r="A382" s="276"/>
      <c r="B382" s="276"/>
      <c r="C382" s="277"/>
      <c r="M382" s="280"/>
    </row>
    <row r="383">
      <c r="A383" s="276"/>
      <c r="B383" s="276"/>
      <c r="C383" s="277"/>
      <c r="M383" s="280"/>
    </row>
    <row r="384">
      <c r="A384" s="276"/>
      <c r="B384" s="276"/>
      <c r="C384" s="277"/>
      <c r="M384" s="280"/>
    </row>
    <row r="385">
      <c r="A385" s="276"/>
      <c r="B385" s="276"/>
      <c r="C385" s="277"/>
      <c r="M385" s="280"/>
    </row>
    <row r="386">
      <c r="A386" s="276"/>
      <c r="B386" s="276"/>
      <c r="C386" s="277"/>
      <c r="M386" s="280"/>
    </row>
    <row r="387">
      <c r="A387" s="276"/>
      <c r="B387" s="276"/>
      <c r="C387" s="277"/>
      <c r="M387" s="280"/>
    </row>
    <row r="388">
      <c r="A388" s="276"/>
      <c r="B388" s="276"/>
      <c r="C388" s="277"/>
      <c r="M388" s="280"/>
    </row>
    <row r="389">
      <c r="A389" s="276"/>
      <c r="B389" s="276"/>
      <c r="C389" s="277"/>
      <c r="M389" s="280"/>
    </row>
    <row r="390">
      <c r="A390" s="276"/>
      <c r="B390" s="276"/>
      <c r="C390" s="277"/>
      <c r="M390" s="280"/>
    </row>
    <row r="391">
      <c r="A391" s="276"/>
      <c r="B391" s="276"/>
      <c r="C391" s="277"/>
      <c r="M391" s="280"/>
    </row>
    <row r="392">
      <c r="A392" s="276"/>
      <c r="B392" s="276"/>
      <c r="C392" s="277"/>
      <c r="M392" s="280"/>
    </row>
    <row r="393">
      <c r="A393" s="276"/>
      <c r="B393" s="276"/>
      <c r="C393" s="277"/>
      <c r="M393" s="280"/>
    </row>
    <row r="394">
      <c r="A394" s="276"/>
      <c r="B394" s="276"/>
      <c r="C394" s="277"/>
      <c r="M394" s="280"/>
    </row>
    <row r="395">
      <c r="A395" s="276"/>
      <c r="B395" s="276"/>
      <c r="C395" s="277"/>
      <c r="M395" s="280"/>
    </row>
    <row r="396">
      <c r="A396" s="276"/>
      <c r="B396" s="276"/>
      <c r="C396" s="277"/>
      <c r="M396" s="280"/>
    </row>
    <row r="397">
      <c r="A397" s="276"/>
      <c r="B397" s="276"/>
      <c r="C397" s="277"/>
      <c r="M397" s="280"/>
    </row>
    <row r="398">
      <c r="A398" s="276"/>
      <c r="B398" s="276"/>
      <c r="C398" s="277"/>
      <c r="M398" s="280"/>
    </row>
    <row r="399">
      <c r="A399" s="276"/>
      <c r="B399" s="276"/>
      <c r="C399" s="277"/>
      <c r="M399" s="280"/>
    </row>
    <row r="400">
      <c r="A400" s="276"/>
      <c r="B400" s="276"/>
      <c r="C400" s="277"/>
      <c r="M400" s="280"/>
    </row>
    <row r="401">
      <c r="A401" s="276"/>
      <c r="B401" s="276"/>
      <c r="C401" s="277"/>
      <c r="M401" s="280"/>
    </row>
    <row r="402">
      <c r="A402" s="276"/>
      <c r="B402" s="276"/>
      <c r="C402" s="277"/>
      <c r="M402" s="280"/>
    </row>
    <row r="403">
      <c r="A403" s="276"/>
      <c r="B403" s="276"/>
      <c r="C403" s="277"/>
      <c r="M403" s="280"/>
    </row>
    <row r="404">
      <c r="A404" s="276"/>
      <c r="B404" s="276"/>
      <c r="C404" s="277"/>
      <c r="M404" s="280"/>
    </row>
    <row r="405">
      <c r="A405" s="276"/>
      <c r="B405" s="276"/>
      <c r="C405" s="277"/>
      <c r="M405" s="280"/>
    </row>
    <row r="406">
      <c r="A406" s="276"/>
      <c r="B406" s="276"/>
      <c r="C406" s="277"/>
      <c r="M406" s="280"/>
    </row>
    <row r="407">
      <c r="A407" s="276"/>
      <c r="B407" s="276"/>
      <c r="C407" s="277"/>
      <c r="M407" s="280"/>
    </row>
    <row r="408">
      <c r="A408" s="276"/>
      <c r="B408" s="276"/>
      <c r="C408" s="277"/>
      <c r="M408" s="280"/>
    </row>
    <row r="409">
      <c r="A409" s="276"/>
      <c r="B409" s="276"/>
      <c r="C409" s="277"/>
      <c r="M409" s="280"/>
    </row>
    <row r="410">
      <c r="A410" s="276"/>
      <c r="B410" s="276"/>
      <c r="C410" s="277"/>
      <c r="M410" s="280"/>
    </row>
    <row r="411">
      <c r="A411" s="276"/>
      <c r="B411" s="276"/>
      <c r="C411" s="277"/>
      <c r="M411" s="280"/>
    </row>
    <row r="412">
      <c r="A412" s="276"/>
      <c r="B412" s="276"/>
      <c r="C412" s="277"/>
      <c r="M412" s="280"/>
    </row>
    <row r="413">
      <c r="A413" s="276"/>
      <c r="B413" s="276"/>
      <c r="C413" s="277"/>
      <c r="M413" s="280"/>
    </row>
    <row r="414">
      <c r="A414" s="276"/>
      <c r="B414" s="276"/>
      <c r="C414" s="277"/>
      <c r="M414" s="280"/>
    </row>
    <row r="415">
      <c r="A415" s="276"/>
      <c r="B415" s="276"/>
      <c r="C415" s="277"/>
      <c r="M415" s="280"/>
    </row>
    <row r="416">
      <c r="A416" s="276"/>
      <c r="B416" s="276"/>
      <c r="C416" s="277"/>
      <c r="M416" s="280"/>
    </row>
    <row r="417">
      <c r="A417" s="276"/>
      <c r="B417" s="276"/>
      <c r="C417" s="277"/>
      <c r="M417" s="280"/>
    </row>
    <row r="418">
      <c r="A418" s="276"/>
      <c r="B418" s="276"/>
      <c r="C418" s="277"/>
      <c r="M418" s="280"/>
    </row>
    <row r="419">
      <c r="A419" s="276"/>
      <c r="B419" s="276"/>
      <c r="C419" s="277"/>
      <c r="M419" s="280"/>
    </row>
    <row r="420">
      <c r="A420" s="276"/>
      <c r="B420" s="276"/>
      <c r="C420" s="277"/>
      <c r="M420" s="280"/>
    </row>
    <row r="421">
      <c r="A421" s="276"/>
      <c r="B421" s="276"/>
      <c r="C421" s="277"/>
      <c r="M421" s="280"/>
    </row>
    <row r="422">
      <c r="A422" s="276"/>
      <c r="B422" s="276"/>
      <c r="C422" s="277"/>
      <c r="M422" s="280"/>
    </row>
    <row r="423">
      <c r="A423" s="276"/>
      <c r="B423" s="276"/>
      <c r="C423" s="277"/>
      <c r="M423" s="280"/>
    </row>
    <row r="424">
      <c r="A424" s="276"/>
      <c r="B424" s="276"/>
      <c r="C424" s="277"/>
      <c r="M424" s="280"/>
    </row>
    <row r="425">
      <c r="A425" s="276"/>
      <c r="B425" s="276"/>
      <c r="C425" s="277"/>
      <c r="M425" s="280"/>
    </row>
    <row r="426">
      <c r="A426" s="276"/>
      <c r="B426" s="276"/>
      <c r="C426" s="277"/>
      <c r="M426" s="280"/>
    </row>
    <row r="427">
      <c r="A427" s="276"/>
      <c r="B427" s="276"/>
      <c r="C427" s="277"/>
      <c r="M427" s="280"/>
    </row>
    <row r="428">
      <c r="A428" s="276"/>
      <c r="B428" s="276"/>
      <c r="C428" s="277"/>
      <c r="M428" s="280"/>
    </row>
    <row r="429">
      <c r="A429" s="276"/>
      <c r="B429" s="276"/>
      <c r="C429" s="277"/>
      <c r="M429" s="280"/>
    </row>
    <row r="430">
      <c r="A430" s="276"/>
      <c r="B430" s="276"/>
      <c r="C430" s="277"/>
      <c r="M430" s="280"/>
    </row>
    <row r="431">
      <c r="A431" s="276"/>
      <c r="B431" s="276"/>
      <c r="C431" s="277"/>
      <c r="M431" s="280"/>
    </row>
    <row r="432">
      <c r="A432" s="276"/>
      <c r="B432" s="276"/>
      <c r="C432" s="277"/>
      <c r="M432" s="280"/>
    </row>
    <row r="433">
      <c r="A433" s="276"/>
      <c r="B433" s="276"/>
      <c r="C433" s="277"/>
      <c r="M433" s="280"/>
    </row>
    <row r="434">
      <c r="A434" s="276"/>
      <c r="B434" s="276"/>
      <c r="C434" s="277"/>
      <c r="M434" s="280"/>
    </row>
    <row r="435">
      <c r="A435" s="276"/>
      <c r="B435" s="276"/>
      <c r="C435" s="277"/>
      <c r="M435" s="280"/>
    </row>
    <row r="436">
      <c r="A436" s="276"/>
      <c r="B436" s="276"/>
      <c r="C436" s="277"/>
      <c r="M436" s="280"/>
    </row>
    <row r="437">
      <c r="A437" s="276"/>
      <c r="B437" s="276"/>
      <c r="C437" s="277"/>
      <c r="M437" s="280"/>
    </row>
    <row r="438">
      <c r="A438" s="276"/>
      <c r="B438" s="276"/>
      <c r="C438" s="277"/>
      <c r="M438" s="280"/>
    </row>
    <row r="439">
      <c r="A439" s="276"/>
      <c r="B439" s="276"/>
      <c r="C439" s="277"/>
      <c r="M439" s="280"/>
    </row>
    <row r="440">
      <c r="A440" s="276"/>
      <c r="B440" s="276"/>
      <c r="C440" s="277"/>
      <c r="M440" s="280"/>
    </row>
    <row r="441">
      <c r="A441" s="276"/>
      <c r="B441" s="276"/>
      <c r="C441" s="277"/>
      <c r="M441" s="280"/>
    </row>
    <row r="442">
      <c r="A442" s="276"/>
      <c r="B442" s="276"/>
      <c r="C442" s="277"/>
      <c r="M442" s="280"/>
    </row>
    <row r="443">
      <c r="A443" s="276"/>
      <c r="B443" s="276"/>
      <c r="C443" s="277"/>
      <c r="M443" s="280"/>
    </row>
    <row r="444">
      <c r="A444" s="276"/>
      <c r="B444" s="276"/>
      <c r="C444" s="277"/>
      <c r="M444" s="280"/>
    </row>
    <row r="445">
      <c r="A445" s="276"/>
      <c r="B445" s="276"/>
      <c r="C445" s="277"/>
      <c r="M445" s="280"/>
    </row>
    <row r="446">
      <c r="A446" s="276"/>
      <c r="B446" s="276"/>
      <c r="C446" s="277"/>
      <c r="M446" s="280"/>
    </row>
    <row r="447">
      <c r="A447" s="276"/>
      <c r="B447" s="276"/>
      <c r="C447" s="277"/>
      <c r="M447" s="280"/>
    </row>
    <row r="448">
      <c r="A448" s="276"/>
      <c r="B448" s="276"/>
      <c r="C448" s="277"/>
      <c r="M448" s="280"/>
    </row>
    <row r="449">
      <c r="A449" s="276"/>
      <c r="B449" s="276"/>
      <c r="C449" s="277"/>
      <c r="M449" s="280"/>
    </row>
    <row r="450">
      <c r="A450" s="276"/>
      <c r="B450" s="276"/>
      <c r="C450" s="277"/>
      <c r="M450" s="280"/>
    </row>
    <row r="451">
      <c r="A451" s="276"/>
      <c r="B451" s="276"/>
      <c r="C451" s="277"/>
      <c r="M451" s="280"/>
    </row>
    <row r="452">
      <c r="A452" s="276"/>
      <c r="B452" s="276"/>
      <c r="C452" s="277"/>
      <c r="M452" s="280"/>
    </row>
    <row r="453">
      <c r="A453" s="276"/>
      <c r="B453" s="276"/>
      <c r="C453" s="277"/>
      <c r="M453" s="280"/>
    </row>
    <row r="454">
      <c r="A454" s="276"/>
      <c r="B454" s="276"/>
      <c r="C454" s="277"/>
      <c r="M454" s="280"/>
    </row>
    <row r="455">
      <c r="A455" s="276"/>
      <c r="B455" s="276"/>
      <c r="C455" s="277"/>
      <c r="M455" s="280"/>
    </row>
    <row r="456">
      <c r="A456" s="276"/>
      <c r="B456" s="276"/>
      <c r="C456" s="277"/>
      <c r="M456" s="280"/>
    </row>
    <row r="457">
      <c r="A457" s="276"/>
      <c r="B457" s="276"/>
      <c r="C457" s="277"/>
      <c r="M457" s="280"/>
    </row>
    <row r="458">
      <c r="A458" s="276"/>
      <c r="B458" s="276"/>
      <c r="C458" s="277"/>
      <c r="M458" s="280"/>
    </row>
    <row r="459">
      <c r="A459" s="276"/>
      <c r="B459" s="276"/>
      <c r="C459" s="277"/>
      <c r="M459" s="280"/>
    </row>
    <row r="460">
      <c r="A460" s="276"/>
      <c r="B460" s="276"/>
      <c r="C460" s="277"/>
      <c r="M460" s="280"/>
    </row>
    <row r="461">
      <c r="A461" s="276"/>
      <c r="B461" s="276"/>
      <c r="C461" s="277"/>
      <c r="M461" s="280"/>
    </row>
    <row r="462">
      <c r="A462" s="276"/>
      <c r="B462" s="276"/>
      <c r="C462" s="277"/>
      <c r="M462" s="280"/>
    </row>
    <row r="463">
      <c r="A463" s="276"/>
      <c r="B463" s="276"/>
      <c r="C463" s="277"/>
      <c r="M463" s="280"/>
    </row>
    <row r="464">
      <c r="A464" s="276"/>
      <c r="B464" s="276"/>
      <c r="C464" s="277"/>
      <c r="M464" s="280"/>
    </row>
    <row r="465">
      <c r="A465" s="276"/>
      <c r="B465" s="276"/>
      <c r="C465" s="277"/>
      <c r="M465" s="280"/>
    </row>
    <row r="466">
      <c r="A466" s="276"/>
      <c r="B466" s="276"/>
      <c r="C466" s="277"/>
      <c r="M466" s="280"/>
    </row>
    <row r="467">
      <c r="A467" s="276"/>
      <c r="B467" s="276"/>
      <c r="C467" s="277"/>
      <c r="M467" s="280"/>
    </row>
    <row r="468">
      <c r="A468" s="276"/>
      <c r="B468" s="276"/>
      <c r="C468" s="277"/>
      <c r="M468" s="280"/>
    </row>
    <row r="469">
      <c r="A469" s="276"/>
      <c r="B469" s="276"/>
      <c r="C469" s="277"/>
      <c r="M469" s="280"/>
    </row>
    <row r="470">
      <c r="A470" s="276"/>
      <c r="B470" s="276"/>
      <c r="C470" s="277"/>
      <c r="M470" s="280"/>
    </row>
    <row r="471">
      <c r="A471" s="276"/>
      <c r="B471" s="276"/>
      <c r="C471" s="277"/>
      <c r="M471" s="280"/>
    </row>
    <row r="472">
      <c r="A472" s="276"/>
      <c r="B472" s="276"/>
      <c r="C472" s="277"/>
      <c r="M472" s="280"/>
    </row>
    <row r="473">
      <c r="A473" s="276"/>
      <c r="B473" s="276"/>
      <c r="C473" s="277"/>
      <c r="M473" s="280"/>
    </row>
    <row r="474">
      <c r="A474" s="276"/>
      <c r="B474" s="276"/>
      <c r="C474" s="277"/>
      <c r="M474" s="280"/>
    </row>
    <row r="475">
      <c r="A475" s="276"/>
      <c r="B475" s="276"/>
      <c r="C475" s="277"/>
      <c r="M475" s="280"/>
    </row>
    <row r="476">
      <c r="A476" s="276"/>
      <c r="B476" s="276"/>
      <c r="C476" s="277"/>
      <c r="M476" s="280"/>
    </row>
    <row r="477">
      <c r="A477" s="276"/>
      <c r="B477" s="276"/>
      <c r="C477" s="277"/>
      <c r="M477" s="280"/>
    </row>
    <row r="478">
      <c r="A478" s="276"/>
      <c r="B478" s="276"/>
      <c r="C478" s="277"/>
      <c r="M478" s="280"/>
    </row>
    <row r="479">
      <c r="A479" s="276"/>
      <c r="B479" s="276"/>
      <c r="C479" s="277"/>
      <c r="M479" s="280"/>
    </row>
    <row r="480">
      <c r="A480" s="276"/>
      <c r="B480" s="276"/>
      <c r="C480" s="277"/>
      <c r="M480" s="280"/>
    </row>
    <row r="481">
      <c r="A481" s="276"/>
      <c r="B481" s="276"/>
      <c r="C481" s="277"/>
      <c r="M481" s="280"/>
    </row>
    <row r="482">
      <c r="A482" s="276"/>
      <c r="B482" s="276"/>
      <c r="C482" s="277"/>
      <c r="M482" s="280"/>
    </row>
    <row r="483">
      <c r="A483" s="276"/>
      <c r="B483" s="276"/>
      <c r="C483" s="277"/>
      <c r="M483" s="280"/>
    </row>
    <row r="484">
      <c r="A484" s="276"/>
      <c r="B484" s="276"/>
      <c r="C484" s="277"/>
      <c r="M484" s="280"/>
    </row>
    <row r="485">
      <c r="A485" s="276"/>
      <c r="B485" s="276"/>
      <c r="C485" s="277"/>
      <c r="M485" s="280"/>
    </row>
    <row r="486">
      <c r="A486" s="276"/>
      <c r="B486" s="276"/>
      <c r="C486" s="277"/>
      <c r="M486" s="280"/>
    </row>
    <row r="487">
      <c r="A487" s="276"/>
      <c r="B487" s="276"/>
      <c r="C487" s="277"/>
      <c r="M487" s="280"/>
    </row>
    <row r="488">
      <c r="A488" s="276"/>
      <c r="B488" s="276"/>
      <c r="C488" s="277"/>
      <c r="M488" s="280"/>
    </row>
    <row r="489">
      <c r="A489" s="276"/>
      <c r="B489" s="276"/>
      <c r="C489" s="277"/>
      <c r="M489" s="280"/>
    </row>
    <row r="490">
      <c r="A490" s="276"/>
      <c r="B490" s="276"/>
      <c r="C490" s="277"/>
      <c r="M490" s="280"/>
    </row>
    <row r="491">
      <c r="A491" s="276"/>
      <c r="B491" s="276"/>
      <c r="C491" s="277"/>
      <c r="M491" s="280"/>
    </row>
    <row r="492">
      <c r="A492" s="276"/>
      <c r="B492" s="276"/>
      <c r="C492" s="277"/>
      <c r="M492" s="280"/>
    </row>
    <row r="493">
      <c r="A493" s="276"/>
      <c r="B493" s="276"/>
      <c r="C493" s="277"/>
      <c r="M493" s="280"/>
    </row>
    <row r="494">
      <c r="A494" s="276"/>
      <c r="B494" s="276"/>
      <c r="C494" s="277"/>
      <c r="M494" s="280"/>
    </row>
    <row r="495">
      <c r="A495" s="276"/>
      <c r="B495" s="276"/>
      <c r="C495" s="277"/>
      <c r="M495" s="280"/>
    </row>
    <row r="496">
      <c r="A496" s="276"/>
      <c r="B496" s="276"/>
      <c r="C496" s="277"/>
      <c r="M496" s="280"/>
    </row>
    <row r="497">
      <c r="A497" s="276"/>
      <c r="B497" s="276"/>
      <c r="C497" s="277"/>
      <c r="M497" s="280"/>
    </row>
    <row r="498">
      <c r="A498" s="276"/>
      <c r="B498" s="276"/>
      <c r="C498" s="277"/>
      <c r="M498" s="280"/>
    </row>
    <row r="499">
      <c r="A499" s="276"/>
      <c r="B499" s="276"/>
      <c r="C499" s="277"/>
      <c r="M499" s="280"/>
    </row>
    <row r="500">
      <c r="A500" s="276"/>
      <c r="B500" s="276"/>
      <c r="C500" s="277"/>
      <c r="M500" s="280"/>
    </row>
    <row r="501">
      <c r="A501" s="276"/>
      <c r="B501" s="276"/>
      <c r="C501" s="277"/>
      <c r="M501" s="280"/>
    </row>
    <row r="502">
      <c r="A502" s="276"/>
      <c r="B502" s="276"/>
      <c r="C502" s="277"/>
      <c r="M502" s="280"/>
    </row>
    <row r="503">
      <c r="A503" s="276"/>
      <c r="B503" s="276"/>
      <c r="C503" s="277"/>
      <c r="M503" s="280"/>
    </row>
    <row r="504">
      <c r="A504" s="276"/>
      <c r="B504" s="276"/>
      <c r="C504" s="277"/>
      <c r="M504" s="280"/>
    </row>
    <row r="505">
      <c r="A505" s="276"/>
      <c r="B505" s="276"/>
      <c r="C505" s="277"/>
      <c r="M505" s="280"/>
    </row>
    <row r="506">
      <c r="A506" s="276"/>
      <c r="B506" s="276"/>
      <c r="C506" s="277"/>
      <c r="M506" s="280"/>
    </row>
    <row r="507">
      <c r="A507" s="276"/>
      <c r="B507" s="276"/>
      <c r="C507" s="277"/>
      <c r="M507" s="280"/>
    </row>
    <row r="508">
      <c r="A508" s="276"/>
      <c r="B508" s="276"/>
      <c r="C508" s="277"/>
      <c r="M508" s="280"/>
    </row>
    <row r="509">
      <c r="A509" s="276"/>
      <c r="B509" s="276"/>
      <c r="C509" s="277"/>
      <c r="M509" s="280"/>
    </row>
    <row r="510">
      <c r="A510" s="276"/>
      <c r="B510" s="276"/>
      <c r="C510" s="277"/>
      <c r="M510" s="280"/>
    </row>
    <row r="511">
      <c r="A511" s="276"/>
      <c r="B511" s="276"/>
      <c r="C511" s="277"/>
      <c r="M511" s="280"/>
    </row>
    <row r="512">
      <c r="A512" s="276"/>
      <c r="B512" s="276"/>
      <c r="C512" s="277"/>
      <c r="M512" s="280"/>
    </row>
    <row r="513">
      <c r="A513" s="276"/>
      <c r="B513" s="276"/>
      <c r="C513" s="277"/>
      <c r="M513" s="280"/>
    </row>
    <row r="514">
      <c r="A514" s="276"/>
      <c r="B514" s="276"/>
      <c r="C514" s="277"/>
      <c r="M514" s="280"/>
    </row>
    <row r="515">
      <c r="A515" s="276"/>
      <c r="B515" s="276"/>
      <c r="C515" s="277"/>
      <c r="M515" s="280"/>
    </row>
    <row r="516">
      <c r="A516" s="276"/>
      <c r="B516" s="276"/>
      <c r="C516" s="277"/>
      <c r="M516" s="280"/>
    </row>
    <row r="517">
      <c r="A517" s="276"/>
      <c r="B517" s="276"/>
      <c r="C517" s="277"/>
      <c r="M517" s="280"/>
    </row>
    <row r="518">
      <c r="A518" s="276"/>
      <c r="B518" s="276"/>
      <c r="C518" s="277"/>
      <c r="M518" s="280"/>
    </row>
    <row r="519">
      <c r="A519" s="276"/>
      <c r="B519" s="276"/>
      <c r="C519" s="277"/>
      <c r="M519" s="280"/>
    </row>
    <row r="520">
      <c r="A520" s="276"/>
      <c r="B520" s="276"/>
      <c r="C520" s="277"/>
      <c r="M520" s="280"/>
    </row>
    <row r="521">
      <c r="A521" s="276"/>
      <c r="B521" s="276"/>
      <c r="C521" s="277"/>
      <c r="M521" s="280"/>
    </row>
    <row r="522">
      <c r="A522" s="276"/>
      <c r="B522" s="276"/>
      <c r="C522" s="277"/>
      <c r="M522" s="280"/>
    </row>
    <row r="523">
      <c r="A523" s="276"/>
      <c r="B523" s="276"/>
      <c r="C523" s="277"/>
      <c r="M523" s="280"/>
    </row>
    <row r="524">
      <c r="A524" s="276"/>
      <c r="B524" s="276"/>
      <c r="C524" s="277"/>
      <c r="M524" s="280"/>
    </row>
    <row r="525">
      <c r="A525" s="276"/>
      <c r="B525" s="276"/>
      <c r="C525" s="277"/>
      <c r="M525" s="280"/>
    </row>
    <row r="526">
      <c r="A526" s="276"/>
      <c r="B526" s="276"/>
      <c r="C526" s="277"/>
      <c r="M526" s="280"/>
    </row>
    <row r="527">
      <c r="A527" s="276"/>
      <c r="B527" s="276"/>
      <c r="C527" s="277"/>
      <c r="M527" s="280"/>
    </row>
    <row r="528">
      <c r="A528" s="276"/>
      <c r="B528" s="276"/>
      <c r="C528" s="277"/>
      <c r="M528" s="280"/>
    </row>
    <row r="529">
      <c r="A529" s="276"/>
      <c r="B529" s="276"/>
      <c r="C529" s="277"/>
      <c r="M529" s="280"/>
    </row>
    <row r="530">
      <c r="A530" s="276"/>
      <c r="B530" s="276"/>
      <c r="C530" s="277"/>
      <c r="M530" s="280"/>
    </row>
    <row r="531">
      <c r="A531" s="276"/>
      <c r="B531" s="276"/>
      <c r="C531" s="277"/>
      <c r="M531" s="280"/>
    </row>
    <row r="532">
      <c r="A532" s="276"/>
      <c r="B532" s="276"/>
      <c r="C532" s="277"/>
      <c r="M532" s="280"/>
    </row>
    <row r="533">
      <c r="A533" s="276"/>
      <c r="B533" s="276"/>
      <c r="C533" s="277"/>
      <c r="M533" s="280"/>
    </row>
    <row r="534">
      <c r="A534" s="276"/>
      <c r="B534" s="276"/>
      <c r="C534" s="277"/>
      <c r="M534" s="280"/>
    </row>
    <row r="535">
      <c r="A535" s="276"/>
      <c r="B535" s="276"/>
      <c r="C535" s="277"/>
      <c r="M535" s="280"/>
    </row>
    <row r="536">
      <c r="A536" s="276"/>
      <c r="B536" s="276"/>
      <c r="C536" s="277"/>
      <c r="M536" s="280"/>
    </row>
    <row r="537">
      <c r="A537" s="276"/>
      <c r="B537" s="276"/>
      <c r="C537" s="277"/>
      <c r="M537" s="280"/>
    </row>
    <row r="538">
      <c r="A538" s="276"/>
      <c r="B538" s="276"/>
      <c r="C538" s="277"/>
      <c r="M538" s="280"/>
    </row>
    <row r="539">
      <c r="A539" s="276"/>
      <c r="B539" s="276"/>
      <c r="C539" s="277"/>
      <c r="M539" s="280"/>
    </row>
    <row r="540">
      <c r="A540" s="276"/>
      <c r="B540" s="276"/>
      <c r="C540" s="277"/>
      <c r="M540" s="280"/>
    </row>
    <row r="541">
      <c r="A541" s="276"/>
      <c r="B541" s="276"/>
      <c r="C541" s="277"/>
      <c r="M541" s="280"/>
    </row>
    <row r="542">
      <c r="A542" s="276"/>
      <c r="B542" s="276"/>
      <c r="C542" s="277"/>
      <c r="M542" s="280"/>
    </row>
    <row r="543">
      <c r="A543" s="276"/>
      <c r="B543" s="276"/>
      <c r="C543" s="277"/>
      <c r="M543" s="280"/>
    </row>
    <row r="544">
      <c r="A544" s="276"/>
      <c r="B544" s="276"/>
      <c r="C544" s="277"/>
      <c r="M544" s="280"/>
    </row>
    <row r="545">
      <c r="A545" s="276"/>
      <c r="B545" s="276"/>
      <c r="C545" s="277"/>
      <c r="M545" s="280"/>
    </row>
    <row r="546">
      <c r="A546" s="276"/>
      <c r="B546" s="276"/>
      <c r="C546" s="277"/>
      <c r="M546" s="280"/>
    </row>
    <row r="547">
      <c r="A547" s="276"/>
      <c r="B547" s="276"/>
      <c r="C547" s="277"/>
      <c r="M547" s="280"/>
    </row>
    <row r="548">
      <c r="A548" s="276"/>
      <c r="B548" s="276"/>
      <c r="C548" s="277"/>
      <c r="M548" s="280"/>
    </row>
    <row r="549">
      <c r="A549" s="276"/>
      <c r="B549" s="276"/>
      <c r="C549" s="277"/>
      <c r="M549" s="280"/>
    </row>
    <row r="550">
      <c r="A550" s="276"/>
      <c r="B550" s="276"/>
      <c r="C550" s="277"/>
      <c r="M550" s="280"/>
    </row>
    <row r="551">
      <c r="A551" s="276"/>
      <c r="B551" s="276"/>
      <c r="C551" s="277"/>
      <c r="M551" s="280"/>
    </row>
    <row r="552">
      <c r="A552" s="276"/>
      <c r="B552" s="276"/>
      <c r="C552" s="277"/>
      <c r="M552" s="280"/>
    </row>
    <row r="553">
      <c r="A553" s="276"/>
      <c r="B553" s="276"/>
      <c r="C553" s="277"/>
      <c r="M553" s="280"/>
    </row>
    <row r="554">
      <c r="A554" s="276"/>
      <c r="B554" s="276"/>
      <c r="C554" s="277"/>
      <c r="M554" s="280"/>
    </row>
    <row r="555">
      <c r="A555" s="276"/>
      <c r="B555" s="276"/>
      <c r="C555" s="277"/>
      <c r="M555" s="280"/>
    </row>
    <row r="556">
      <c r="A556" s="276"/>
      <c r="B556" s="276"/>
      <c r="C556" s="277"/>
      <c r="M556" s="280"/>
    </row>
    <row r="557">
      <c r="A557" s="276"/>
      <c r="B557" s="276"/>
      <c r="C557" s="277"/>
      <c r="M557" s="280"/>
    </row>
    <row r="558">
      <c r="A558" s="276"/>
      <c r="B558" s="276"/>
      <c r="C558" s="277"/>
      <c r="M558" s="280"/>
    </row>
    <row r="559">
      <c r="A559" s="276"/>
      <c r="B559" s="276"/>
      <c r="C559" s="277"/>
      <c r="M559" s="280"/>
    </row>
    <row r="560">
      <c r="A560" s="276"/>
      <c r="B560" s="276"/>
      <c r="C560" s="277"/>
      <c r="M560" s="280"/>
    </row>
    <row r="561">
      <c r="A561" s="276"/>
      <c r="B561" s="276"/>
      <c r="C561" s="277"/>
      <c r="M561" s="280"/>
    </row>
    <row r="562">
      <c r="A562" s="276"/>
      <c r="B562" s="276"/>
      <c r="C562" s="277"/>
      <c r="M562" s="280"/>
    </row>
    <row r="563">
      <c r="A563" s="276"/>
      <c r="B563" s="276"/>
      <c r="C563" s="277"/>
      <c r="M563" s="280"/>
    </row>
    <row r="564">
      <c r="A564" s="276"/>
      <c r="B564" s="276"/>
      <c r="C564" s="277"/>
      <c r="M564" s="280"/>
    </row>
    <row r="565">
      <c r="A565" s="276"/>
      <c r="B565" s="276"/>
      <c r="C565" s="277"/>
      <c r="M565" s="280"/>
    </row>
    <row r="566">
      <c r="A566" s="276"/>
      <c r="B566" s="276"/>
      <c r="C566" s="277"/>
      <c r="M566" s="280"/>
    </row>
    <row r="567">
      <c r="A567" s="276"/>
      <c r="B567" s="276"/>
      <c r="C567" s="277"/>
      <c r="M567" s="280"/>
    </row>
    <row r="568">
      <c r="A568" s="276"/>
      <c r="B568" s="276"/>
      <c r="C568" s="277"/>
      <c r="M568" s="280"/>
    </row>
    <row r="569">
      <c r="A569" s="276"/>
      <c r="B569" s="276"/>
      <c r="C569" s="277"/>
      <c r="M569" s="280"/>
    </row>
    <row r="570">
      <c r="A570" s="276"/>
      <c r="B570" s="276"/>
      <c r="C570" s="277"/>
      <c r="M570" s="280"/>
    </row>
    <row r="571">
      <c r="A571" s="276"/>
      <c r="B571" s="276"/>
      <c r="C571" s="277"/>
      <c r="M571" s="280"/>
    </row>
    <row r="572">
      <c r="A572" s="276"/>
      <c r="B572" s="276"/>
      <c r="C572" s="277"/>
      <c r="M572" s="280"/>
    </row>
    <row r="573">
      <c r="A573" s="276"/>
      <c r="B573" s="276"/>
      <c r="C573" s="277"/>
      <c r="M573" s="280"/>
    </row>
    <row r="574">
      <c r="A574" s="276"/>
      <c r="B574" s="276"/>
      <c r="C574" s="277"/>
      <c r="M574" s="280"/>
    </row>
    <row r="575">
      <c r="A575" s="276"/>
      <c r="B575" s="276"/>
      <c r="C575" s="277"/>
      <c r="M575" s="280"/>
    </row>
    <row r="576">
      <c r="A576" s="276"/>
      <c r="B576" s="276"/>
      <c r="C576" s="277"/>
      <c r="M576" s="280"/>
    </row>
    <row r="577">
      <c r="A577" s="276"/>
      <c r="B577" s="276"/>
      <c r="C577" s="277"/>
      <c r="M577" s="280"/>
    </row>
    <row r="578">
      <c r="A578" s="276"/>
      <c r="B578" s="276"/>
      <c r="C578" s="277"/>
      <c r="M578" s="280"/>
    </row>
    <row r="579">
      <c r="A579" s="276"/>
      <c r="B579" s="276"/>
      <c r="C579" s="277"/>
      <c r="M579" s="280"/>
    </row>
    <row r="580">
      <c r="A580" s="276"/>
      <c r="B580" s="276"/>
      <c r="C580" s="277"/>
      <c r="M580" s="280"/>
    </row>
    <row r="581">
      <c r="A581" s="276"/>
      <c r="B581" s="276"/>
      <c r="C581" s="277"/>
      <c r="M581" s="280"/>
    </row>
    <row r="582">
      <c r="A582" s="276"/>
      <c r="B582" s="276"/>
      <c r="C582" s="277"/>
      <c r="M582" s="280"/>
    </row>
    <row r="583">
      <c r="A583" s="276"/>
      <c r="B583" s="276"/>
      <c r="C583" s="277"/>
      <c r="M583" s="280"/>
    </row>
    <row r="584">
      <c r="A584" s="276"/>
      <c r="B584" s="276"/>
      <c r="C584" s="277"/>
      <c r="M584" s="280"/>
    </row>
    <row r="585">
      <c r="A585" s="276"/>
      <c r="B585" s="276"/>
      <c r="C585" s="277"/>
      <c r="M585" s="280"/>
    </row>
    <row r="586">
      <c r="A586" s="276"/>
      <c r="B586" s="276"/>
      <c r="C586" s="277"/>
      <c r="M586" s="280"/>
    </row>
    <row r="587">
      <c r="A587" s="276"/>
      <c r="B587" s="276"/>
      <c r="C587" s="277"/>
      <c r="M587" s="280"/>
    </row>
    <row r="588">
      <c r="A588" s="276"/>
      <c r="B588" s="276"/>
      <c r="C588" s="277"/>
      <c r="M588" s="280"/>
    </row>
    <row r="589">
      <c r="A589" s="276"/>
      <c r="B589" s="276"/>
      <c r="C589" s="277"/>
      <c r="M589" s="280"/>
    </row>
    <row r="590">
      <c r="A590" s="276"/>
      <c r="B590" s="276"/>
      <c r="C590" s="277"/>
      <c r="M590" s="280"/>
    </row>
    <row r="591">
      <c r="A591" s="276"/>
      <c r="B591" s="276"/>
      <c r="C591" s="277"/>
      <c r="M591" s="280"/>
    </row>
    <row r="592">
      <c r="A592" s="276"/>
      <c r="B592" s="276"/>
      <c r="C592" s="277"/>
      <c r="M592" s="280"/>
    </row>
    <row r="593">
      <c r="A593" s="276"/>
      <c r="B593" s="276"/>
      <c r="C593" s="277"/>
      <c r="M593" s="280"/>
    </row>
    <row r="594">
      <c r="A594" s="276"/>
      <c r="B594" s="276"/>
      <c r="C594" s="277"/>
      <c r="M594" s="280"/>
    </row>
    <row r="595">
      <c r="A595" s="276"/>
      <c r="B595" s="276"/>
      <c r="C595" s="277"/>
      <c r="M595" s="280"/>
    </row>
    <row r="596">
      <c r="A596" s="276"/>
      <c r="B596" s="276"/>
      <c r="C596" s="277"/>
      <c r="M596" s="280"/>
    </row>
    <row r="597">
      <c r="A597" s="276"/>
      <c r="B597" s="276"/>
      <c r="C597" s="277"/>
      <c r="M597" s="280"/>
    </row>
    <row r="598">
      <c r="A598" s="276"/>
      <c r="B598" s="276"/>
      <c r="C598" s="277"/>
      <c r="M598" s="280"/>
    </row>
    <row r="599">
      <c r="A599" s="276"/>
      <c r="B599" s="276"/>
      <c r="C599" s="277"/>
      <c r="M599" s="280"/>
    </row>
    <row r="600">
      <c r="A600" s="276"/>
      <c r="B600" s="276"/>
      <c r="C600" s="277"/>
      <c r="M600" s="280"/>
    </row>
    <row r="601">
      <c r="A601" s="276"/>
      <c r="B601" s="276"/>
      <c r="C601" s="277"/>
      <c r="M601" s="280"/>
    </row>
    <row r="602">
      <c r="A602" s="276"/>
      <c r="B602" s="276"/>
      <c r="C602" s="277"/>
      <c r="M602" s="280"/>
    </row>
    <row r="603">
      <c r="A603" s="276"/>
      <c r="B603" s="276"/>
      <c r="C603" s="277"/>
      <c r="M603" s="280"/>
    </row>
    <row r="604">
      <c r="A604" s="276"/>
      <c r="B604" s="276"/>
      <c r="C604" s="277"/>
      <c r="M604" s="280"/>
    </row>
    <row r="605">
      <c r="A605" s="276"/>
      <c r="B605" s="276"/>
      <c r="C605" s="277"/>
      <c r="M605" s="280"/>
    </row>
    <row r="606">
      <c r="A606" s="276"/>
      <c r="B606" s="276"/>
      <c r="C606" s="277"/>
      <c r="M606" s="280"/>
    </row>
    <row r="607">
      <c r="A607" s="276"/>
      <c r="B607" s="276"/>
      <c r="C607" s="277"/>
      <c r="M607" s="280"/>
    </row>
    <row r="608">
      <c r="A608" s="276"/>
      <c r="B608" s="276"/>
      <c r="C608" s="277"/>
      <c r="M608" s="280"/>
    </row>
    <row r="609">
      <c r="A609" s="276"/>
      <c r="B609" s="276"/>
      <c r="C609" s="277"/>
      <c r="M609" s="280"/>
    </row>
    <row r="610">
      <c r="A610" s="276"/>
      <c r="B610" s="276"/>
      <c r="C610" s="277"/>
      <c r="M610" s="280"/>
    </row>
    <row r="611">
      <c r="A611" s="276"/>
      <c r="B611" s="276"/>
      <c r="C611" s="277"/>
      <c r="M611" s="280"/>
    </row>
    <row r="612">
      <c r="A612" s="276"/>
      <c r="B612" s="276"/>
      <c r="C612" s="277"/>
      <c r="M612" s="280"/>
    </row>
    <row r="613">
      <c r="A613" s="276"/>
      <c r="B613" s="276"/>
      <c r="C613" s="277"/>
      <c r="M613" s="280"/>
    </row>
    <row r="614">
      <c r="A614" s="276"/>
      <c r="B614" s="276"/>
      <c r="C614" s="277"/>
      <c r="M614" s="280"/>
    </row>
    <row r="615">
      <c r="A615" s="276"/>
      <c r="B615" s="276"/>
      <c r="C615" s="277"/>
      <c r="M615" s="280"/>
    </row>
    <row r="616">
      <c r="A616" s="276"/>
      <c r="B616" s="276"/>
      <c r="C616" s="277"/>
      <c r="M616" s="280"/>
    </row>
    <row r="617">
      <c r="A617" s="276"/>
      <c r="B617" s="276"/>
      <c r="C617" s="277"/>
      <c r="M617" s="280"/>
    </row>
    <row r="618">
      <c r="A618" s="276"/>
      <c r="B618" s="276"/>
      <c r="C618" s="277"/>
      <c r="M618" s="280"/>
    </row>
    <row r="619">
      <c r="A619" s="276"/>
      <c r="B619" s="276"/>
      <c r="C619" s="277"/>
      <c r="M619" s="280"/>
    </row>
    <row r="620">
      <c r="A620" s="276"/>
      <c r="B620" s="276"/>
      <c r="C620" s="277"/>
      <c r="M620" s="280"/>
    </row>
    <row r="621">
      <c r="A621" s="276"/>
      <c r="B621" s="276"/>
      <c r="C621" s="277"/>
      <c r="M621" s="280"/>
    </row>
    <row r="622">
      <c r="A622" s="276"/>
      <c r="B622" s="276"/>
      <c r="C622" s="277"/>
      <c r="M622" s="280"/>
    </row>
    <row r="623">
      <c r="A623" s="276"/>
      <c r="B623" s="276"/>
      <c r="C623" s="277"/>
      <c r="M623" s="280"/>
    </row>
    <row r="624">
      <c r="A624" s="276"/>
      <c r="B624" s="276"/>
      <c r="C624" s="277"/>
      <c r="M624" s="280"/>
    </row>
    <row r="625">
      <c r="A625" s="276"/>
      <c r="B625" s="276"/>
      <c r="C625" s="277"/>
      <c r="M625" s="280"/>
    </row>
    <row r="626">
      <c r="A626" s="276"/>
      <c r="B626" s="276"/>
      <c r="C626" s="277"/>
      <c r="M626" s="280"/>
    </row>
    <row r="627">
      <c r="A627" s="276"/>
      <c r="B627" s="276"/>
      <c r="C627" s="277"/>
      <c r="M627" s="280"/>
    </row>
    <row r="628">
      <c r="A628" s="276"/>
      <c r="B628" s="276"/>
      <c r="C628" s="277"/>
      <c r="M628" s="280"/>
    </row>
    <row r="629">
      <c r="A629" s="276"/>
      <c r="B629" s="276"/>
      <c r="C629" s="277"/>
      <c r="M629" s="280"/>
    </row>
    <row r="630">
      <c r="A630" s="276"/>
      <c r="B630" s="276"/>
      <c r="C630" s="277"/>
      <c r="M630" s="280"/>
    </row>
    <row r="631">
      <c r="A631" s="276"/>
      <c r="B631" s="276"/>
      <c r="C631" s="277"/>
      <c r="M631" s="280"/>
    </row>
    <row r="632">
      <c r="A632" s="276"/>
      <c r="B632" s="276"/>
      <c r="C632" s="277"/>
      <c r="M632" s="280"/>
    </row>
    <row r="633">
      <c r="A633" s="276"/>
      <c r="B633" s="276"/>
      <c r="C633" s="277"/>
      <c r="M633" s="280"/>
    </row>
    <row r="634">
      <c r="A634" s="276"/>
      <c r="B634" s="276"/>
      <c r="C634" s="277"/>
      <c r="M634" s="280"/>
    </row>
    <row r="635">
      <c r="A635" s="276"/>
      <c r="B635" s="276"/>
      <c r="C635" s="277"/>
      <c r="M635" s="280"/>
    </row>
    <row r="636">
      <c r="A636" s="276"/>
      <c r="B636" s="276"/>
      <c r="C636" s="277"/>
      <c r="M636" s="280"/>
    </row>
    <row r="637">
      <c r="A637" s="276"/>
      <c r="B637" s="276"/>
      <c r="C637" s="277"/>
      <c r="M637" s="280"/>
    </row>
    <row r="638">
      <c r="A638" s="276"/>
      <c r="B638" s="276"/>
      <c r="C638" s="277"/>
      <c r="M638" s="280"/>
    </row>
    <row r="639">
      <c r="A639" s="276"/>
      <c r="B639" s="276"/>
      <c r="C639" s="277"/>
      <c r="M639" s="280"/>
    </row>
    <row r="640">
      <c r="A640" s="276"/>
      <c r="B640" s="276"/>
      <c r="C640" s="277"/>
      <c r="M640" s="280"/>
    </row>
    <row r="641">
      <c r="A641" s="276"/>
      <c r="B641" s="276"/>
      <c r="C641" s="277"/>
      <c r="M641" s="280"/>
    </row>
    <row r="642">
      <c r="A642" s="276"/>
      <c r="B642" s="276"/>
      <c r="C642" s="277"/>
      <c r="M642" s="280"/>
    </row>
    <row r="643">
      <c r="A643" s="276"/>
      <c r="B643" s="276"/>
      <c r="C643" s="277"/>
      <c r="M643" s="280"/>
    </row>
    <row r="644">
      <c r="A644" s="276"/>
      <c r="B644" s="276"/>
      <c r="C644" s="277"/>
      <c r="M644" s="280"/>
    </row>
    <row r="645">
      <c r="A645" s="276"/>
      <c r="B645" s="276"/>
      <c r="C645" s="277"/>
      <c r="M645" s="280"/>
    </row>
    <row r="646">
      <c r="A646" s="276"/>
      <c r="B646" s="276"/>
      <c r="C646" s="277"/>
      <c r="M646" s="280"/>
    </row>
    <row r="647">
      <c r="A647" s="276"/>
      <c r="B647" s="276"/>
      <c r="C647" s="277"/>
      <c r="M647" s="280"/>
    </row>
    <row r="648">
      <c r="A648" s="276"/>
      <c r="B648" s="276"/>
      <c r="C648" s="277"/>
      <c r="M648" s="280"/>
    </row>
    <row r="649">
      <c r="A649" s="276"/>
      <c r="B649" s="276"/>
      <c r="C649" s="277"/>
      <c r="M649" s="280"/>
    </row>
    <row r="650">
      <c r="A650" s="276"/>
      <c r="B650" s="276"/>
      <c r="C650" s="277"/>
      <c r="M650" s="280"/>
    </row>
    <row r="651">
      <c r="A651" s="276"/>
      <c r="B651" s="276"/>
      <c r="C651" s="277"/>
      <c r="M651" s="280"/>
    </row>
    <row r="652">
      <c r="A652" s="276"/>
      <c r="B652" s="276"/>
      <c r="C652" s="277"/>
      <c r="M652" s="280"/>
    </row>
    <row r="653">
      <c r="A653" s="276"/>
      <c r="B653" s="276"/>
      <c r="C653" s="277"/>
      <c r="M653" s="280"/>
    </row>
    <row r="654">
      <c r="A654" s="276"/>
      <c r="B654" s="276"/>
      <c r="C654" s="277"/>
      <c r="M654" s="280"/>
    </row>
    <row r="655">
      <c r="A655" s="276"/>
      <c r="B655" s="276"/>
      <c r="C655" s="277"/>
      <c r="M655" s="280"/>
    </row>
    <row r="656">
      <c r="A656" s="276"/>
      <c r="B656" s="276"/>
      <c r="C656" s="277"/>
      <c r="M656" s="280"/>
    </row>
    <row r="657">
      <c r="A657" s="276"/>
      <c r="B657" s="276"/>
      <c r="C657" s="277"/>
      <c r="M657" s="280"/>
    </row>
    <row r="658">
      <c r="A658" s="276"/>
      <c r="B658" s="276"/>
      <c r="C658" s="277"/>
      <c r="M658" s="280"/>
    </row>
    <row r="659">
      <c r="A659" s="276"/>
      <c r="B659" s="276"/>
      <c r="C659" s="277"/>
      <c r="M659" s="280"/>
    </row>
    <row r="660">
      <c r="A660" s="276"/>
      <c r="B660" s="276"/>
      <c r="C660" s="277"/>
      <c r="M660" s="280"/>
    </row>
    <row r="661">
      <c r="A661" s="276"/>
      <c r="B661" s="276"/>
      <c r="C661" s="277"/>
      <c r="M661" s="280"/>
    </row>
    <row r="662">
      <c r="A662" s="276"/>
      <c r="B662" s="276"/>
      <c r="C662" s="277"/>
      <c r="M662" s="280"/>
    </row>
    <row r="663">
      <c r="A663" s="276"/>
      <c r="B663" s="276"/>
      <c r="C663" s="277"/>
      <c r="M663" s="280"/>
    </row>
    <row r="664">
      <c r="A664" s="276"/>
      <c r="B664" s="276"/>
      <c r="C664" s="277"/>
      <c r="M664" s="280"/>
    </row>
    <row r="665">
      <c r="A665" s="276"/>
      <c r="B665" s="276"/>
      <c r="C665" s="277"/>
      <c r="M665" s="280"/>
    </row>
    <row r="666">
      <c r="A666" s="276"/>
      <c r="B666" s="276"/>
      <c r="C666" s="277"/>
      <c r="M666" s="280"/>
    </row>
    <row r="667">
      <c r="A667" s="276"/>
      <c r="B667" s="276"/>
      <c r="C667" s="277"/>
      <c r="M667" s="280"/>
    </row>
    <row r="668">
      <c r="A668" s="276"/>
      <c r="B668" s="276"/>
      <c r="C668" s="277"/>
      <c r="M668" s="280"/>
    </row>
    <row r="669">
      <c r="A669" s="276"/>
      <c r="B669" s="276"/>
      <c r="C669" s="277"/>
      <c r="M669" s="280"/>
    </row>
    <row r="670">
      <c r="A670" s="276"/>
      <c r="B670" s="276"/>
      <c r="C670" s="277"/>
      <c r="M670" s="280"/>
    </row>
    <row r="671">
      <c r="A671" s="276"/>
      <c r="B671" s="276"/>
      <c r="C671" s="277"/>
      <c r="M671" s="280"/>
    </row>
    <row r="672">
      <c r="A672" s="276"/>
      <c r="B672" s="276"/>
      <c r="C672" s="277"/>
      <c r="M672" s="280"/>
    </row>
    <row r="673">
      <c r="A673" s="276"/>
      <c r="B673" s="276"/>
      <c r="C673" s="277"/>
      <c r="M673" s="280"/>
    </row>
    <row r="674">
      <c r="A674" s="276"/>
      <c r="B674" s="276"/>
      <c r="C674" s="277"/>
      <c r="M674" s="280"/>
    </row>
    <row r="675">
      <c r="A675" s="276"/>
      <c r="B675" s="276"/>
      <c r="C675" s="277"/>
      <c r="M675" s="280"/>
    </row>
    <row r="676">
      <c r="A676" s="276"/>
      <c r="B676" s="276"/>
      <c r="C676" s="277"/>
      <c r="M676" s="280"/>
    </row>
    <row r="677">
      <c r="A677" s="276"/>
      <c r="B677" s="276"/>
      <c r="C677" s="277"/>
      <c r="M677" s="280"/>
    </row>
    <row r="678">
      <c r="A678" s="276"/>
      <c r="B678" s="276"/>
      <c r="C678" s="277"/>
      <c r="M678" s="280"/>
    </row>
    <row r="679">
      <c r="A679" s="276"/>
      <c r="B679" s="276"/>
      <c r="C679" s="277"/>
      <c r="M679" s="280"/>
    </row>
    <row r="680">
      <c r="A680" s="276"/>
      <c r="B680" s="276"/>
      <c r="C680" s="277"/>
      <c r="M680" s="280"/>
    </row>
    <row r="681">
      <c r="A681" s="276"/>
      <c r="B681" s="276"/>
      <c r="C681" s="277"/>
      <c r="M681" s="280"/>
    </row>
    <row r="682">
      <c r="A682" s="276"/>
      <c r="B682" s="276"/>
      <c r="C682" s="277"/>
      <c r="M682" s="280"/>
    </row>
    <row r="683">
      <c r="A683" s="276"/>
      <c r="B683" s="276"/>
      <c r="C683" s="277"/>
      <c r="M683" s="280"/>
    </row>
    <row r="684">
      <c r="A684" s="276"/>
      <c r="B684" s="276"/>
      <c r="C684" s="277"/>
      <c r="M684" s="280"/>
    </row>
    <row r="685">
      <c r="A685" s="276"/>
      <c r="B685" s="276"/>
      <c r="C685" s="277"/>
      <c r="M685" s="280"/>
    </row>
    <row r="686">
      <c r="A686" s="276"/>
      <c r="B686" s="276"/>
      <c r="C686" s="277"/>
      <c r="M686" s="280"/>
    </row>
    <row r="687">
      <c r="A687" s="276"/>
      <c r="B687" s="276"/>
      <c r="C687" s="277"/>
      <c r="M687" s="280"/>
    </row>
    <row r="688">
      <c r="A688" s="276"/>
      <c r="B688" s="276"/>
      <c r="C688" s="277"/>
      <c r="M688" s="280"/>
    </row>
    <row r="689">
      <c r="A689" s="276"/>
      <c r="B689" s="276"/>
      <c r="C689" s="277"/>
      <c r="M689" s="280"/>
    </row>
    <row r="690">
      <c r="A690" s="276"/>
      <c r="B690" s="276"/>
      <c r="C690" s="277"/>
      <c r="M690" s="280"/>
    </row>
    <row r="691">
      <c r="A691" s="276"/>
      <c r="B691" s="276"/>
      <c r="C691" s="277"/>
      <c r="M691" s="280"/>
    </row>
    <row r="692">
      <c r="A692" s="276"/>
      <c r="B692" s="276"/>
      <c r="C692" s="277"/>
      <c r="M692" s="280"/>
    </row>
    <row r="693">
      <c r="A693" s="276"/>
      <c r="B693" s="276"/>
      <c r="C693" s="277"/>
      <c r="M693" s="280"/>
    </row>
    <row r="694">
      <c r="A694" s="276"/>
      <c r="B694" s="276"/>
      <c r="C694" s="277"/>
      <c r="M694" s="280"/>
    </row>
    <row r="695">
      <c r="A695" s="276"/>
      <c r="B695" s="276"/>
      <c r="C695" s="277"/>
      <c r="M695" s="280"/>
    </row>
    <row r="696">
      <c r="A696" s="276"/>
      <c r="B696" s="276"/>
      <c r="C696" s="277"/>
      <c r="M696" s="280"/>
    </row>
    <row r="697">
      <c r="A697" s="276"/>
      <c r="B697" s="276"/>
      <c r="C697" s="277"/>
      <c r="M697" s="280"/>
    </row>
    <row r="698">
      <c r="A698" s="276"/>
      <c r="B698" s="276"/>
      <c r="C698" s="277"/>
      <c r="M698" s="280"/>
    </row>
    <row r="699">
      <c r="A699" s="276"/>
      <c r="B699" s="276"/>
      <c r="C699" s="277"/>
      <c r="M699" s="280"/>
    </row>
    <row r="700">
      <c r="A700" s="276"/>
      <c r="B700" s="276"/>
      <c r="C700" s="277"/>
      <c r="M700" s="280"/>
    </row>
    <row r="701">
      <c r="A701" s="276"/>
      <c r="B701" s="276"/>
      <c r="C701" s="277"/>
      <c r="M701" s="280"/>
    </row>
    <row r="702">
      <c r="A702" s="276"/>
      <c r="B702" s="276"/>
      <c r="C702" s="277"/>
      <c r="M702" s="280"/>
    </row>
    <row r="703">
      <c r="A703" s="276"/>
      <c r="B703" s="276"/>
      <c r="C703" s="277"/>
      <c r="M703" s="280"/>
    </row>
    <row r="704">
      <c r="A704" s="276"/>
      <c r="B704" s="276"/>
      <c r="C704" s="277"/>
      <c r="M704" s="280"/>
    </row>
    <row r="705">
      <c r="A705" s="276"/>
      <c r="B705" s="276"/>
      <c r="C705" s="277"/>
      <c r="M705" s="280"/>
    </row>
    <row r="706">
      <c r="A706" s="276"/>
      <c r="B706" s="276"/>
      <c r="C706" s="277"/>
      <c r="M706" s="280"/>
    </row>
    <row r="707">
      <c r="A707" s="276"/>
      <c r="B707" s="276"/>
      <c r="C707" s="277"/>
      <c r="M707" s="280"/>
    </row>
    <row r="708">
      <c r="A708" s="276"/>
      <c r="B708" s="276"/>
      <c r="C708" s="277"/>
      <c r="M708" s="280"/>
    </row>
    <row r="709">
      <c r="A709" s="276"/>
      <c r="B709" s="276"/>
      <c r="C709" s="277"/>
      <c r="M709" s="280"/>
    </row>
    <row r="710">
      <c r="A710" s="276"/>
      <c r="B710" s="276"/>
      <c r="C710" s="277"/>
      <c r="M710" s="280"/>
    </row>
    <row r="711">
      <c r="A711" s="276"/>
      <c r="B711" s="276"/>
      <c r="C711" s="277"/>
      <c r="M711" s="280"/>
    </row>
    <row r="712">
      <c r="A712" s="276"/>
      <c r="B712" s="276"/>
      <c r="C712" s="277"/>
      <c r="M712" s="280"/>
    </row>
    <row r="713">
      <c r="A713" s="276"/>
      <c r="B713" s="276"/>
      <c r="C713" s="277"/>
      <c r="M713" s="280"/>
    </row>
    <row r="714">
      <c r="A714" s="276"/>
      <c r="B714" s="276"/>
      <c r="C714" s="277"/>
      <c r="M714" s="280"/>
    </row>
    <row r="715">
      <c r="A715" s="276"/>
      <c r="B715" s="276"/>
      <c r="C715" s="277"/>
      <c r="M715" s="280"/>
    </row>
    <row r="716">
      <c r="A716" s="276"/>
      <c r="B716" s="276"/>
      <c r="C716" s="277"/>
      <c r="M716" s="280"/>
    </row>
    <row r="717">
      <c r="A717" s="276"/>
      <c r="B717" s="276"/>
      <c r="C717" s="277"/>
      <c r="M717" s="280"/>
    </row>
    <row r="718">
      <c r="A718" s="276"/>
      <c r="B718" s="276"/>
      <c r="C718" s="277"/>
      <c r="M718" s="280"/>
    </row>
    <row r="719">
      <c r="A719" s="276"/>
      <c r="B719" s="276"/>
      <c r="C719" s="277"/>
      <c r="M719" s="280"/>
    </row>
    <row r="720">
      <c r="A720" s="276"/>
      <c r="B720" s="276"/>
      <c r="C720" s="277"/>
      <c r="M720" s="280"/>
    </row>
    <row r="721">
      <c r="A721" s="276"/>
      <c r="B721" s="276"/>
      <c r="C721" s="277"/>
      <c r="M721" s="280"/>
    </row>
    <row r="722">
      <c r="A722" s="276"/>
      <c r="B722" s="276"/>
      <c r="C722" s="277"/>
      <c r="M722" s="280"/>
    </row>
    <row r="723">
      <c r="A723" s="276"/>
      <c r="B723" s="276"/>
      <c r="C723" s="277"/>
      <c r="M723" s="280"/>
    </row>
    <row r="724">
      <c r="A724" s="276"/>
      <c r="B724" s="276"/>
      <c r="C724" s="277"/>
      <c r="M724" s="280"/>
    </row>
    <row r="725">
      <c r="A725" s="276"/>
      <c r="B725" s="276"/>
      <c r="C725" s="277"/>
      <c r="M725" s="280"/>
    </row>
    <row r="726">
      <c r="A726" s="276"/>
      <c r="B726" s="276"/>
      <c r="C726" s="277"/>
      <c r="M726" s="280"/>
    </row>
    <row r="727">
      <c r="A727" s="276"/>
      <c r="B727" s="276"/>
      <c r="C727" s="277"/>
      <c r="M727" s="280"/>
    </row>
    <row r="728">
      <c r="A728" s="276"/>
      <c r="B728" s="276"/>
      <c r="C728" s="277"/>
      <c r="M728" s="280"/>
    </row>
    <row r="729">
      <c r="A729" s="276"/>
      <c r="B729" s="276"/>
      <c r="C729" s="277"/>
      <c r="M729" s="280"/>
    </row>
    <row r="730">
      <c r="A730" s="276"/>
      <c r="B730" s="276"/>
      <c r="C730" s="277"/>
      <c r="M730" s="280"/>
    </row>
    <row r="731">
      <c r="A731" s="276"/>
      <c r="B731" s="276"/>
      <c r="C731" s="277"/>
      <c r="M731" s="280"/>
    </row>
    <row r="732">
      <c r="A732" s="276"/>
      <c r="B732" s="276"/>
      <c r="C732" s="277"/>
      <c r="M732" s="280"/>
    </row>
    <row r="733">
      <c r="A733" s="276"/>
      <c r="B733" s="276"/>
      <c r="C733" s="277"/>
      <c r="M733" s="280"/>
    </row>
    <row r="734">
      <c r="A734" s="276"/>
      <c r="B734" s="276"/>
      <c r="C734" s="277"/>
      <c r="M734" s="280"/>
    </row>
    <row r="735">
      <c r="A735" s="276"/>
      <c r="B735" s="276"/>
      <c r="C735" s="277"/>
      <c r="M735" s="280"/>
    </row>
    <row r="736">
      <c r="A736" s="276"/>
      <c r="B736" s="276"/>
      <c r="C736" s="277"/>
      <c r="M736" s="280"/>
    </row>
    <row r="737">
      <c r="A737" s="276"/>
      <c r="B737" s="276"/>
      <c r="C737" s="277"/>
      <c r="M737" s="280"/>
    </row>
    <row r="738">
      <c r="A738" s="276"/>
      <c r="B738" s="276"/>
      <c r="C738" s="277"/>
      <c r="M738" s="280"/>
    </row>
    <row r="739">
      <c r="A739" s="276"/>
      <c r="B739" s="276"/>
      <c r="C739" s="277"/>
      <c r="M739" s="280"/>
    </row>
    <row r="740">
      <c r="A740" s="276"/>
      <c r="B740" s="276"/>
      <c r="C740" s="277"/>
      <c r="M740" s="280"/>
    </row>
    <row r="741">
      <c r="A741" s="276"/>
      <c r="B741" s="276"/>
      <c r="C741" s="277"/>
      <c r="M741" s="280"/>
    </row>
    <row r="742">
      <c r="A742" s="276"/>
      <c r="B742" s="276"/>
      <c r="C742" s="277"/>
      <c r="M742" s="280"/>
    </row>
    <row r="743">
      <c r="A743" s="276"/>
      <c r="B743" s="276"/>
      <c r="C743" s="277"/>
      <c r="M743" s="280"/>
    </row>
    <row r="744">
      <c r="A744" s="276"/>
      <c r="B744" s="276"/>
      <c r="C744" s="277"/>
      <c r="M744" s="280"/>
    </row>
    <row r="745">
      <c r="A745" s="276"/>
      <c r="B745" s="276"/>
      <c r="C745" s="277"/>
      <c r="M745" s="280"/>
    </row>
    <row r="746">
      <c r="A746" s="276"/>
      <c r="B746" s="276"/>
      <c r="C746" s="277"/>
      <c r="M746" s="280"/>
    </row>
    <row r="747">
      <c r="A747" s="276"/>
      <c r="B747" s="276"/>
      <c r="C747" s="277"/>
      <c r="M747" s="280"/>
    </row>
    <row r="748">
      <c r="A748" s="276"/>
      <c r="B748" s="276"/>
      <c r="C748" s="277"/>
      <c r="M748" s="280"/>
    </row>
    <row r="749">
      <c r="A749" s="276"/>
      <c r="B749" s="276"/>
      <c r="C749" s="277"/>
      <c r="M749" s="280"/>
    </row>
    <row r="750">
      <c r="A750" s="276"/>
      <c r="B750" s="276"/>
      <c r="C750" s="277"/>
      <c r="M750" s="280"/>
    </row>
    <row r="751">
      <c r="A751" s="276"/>
      <c r="B751" s="276"/>
      <c r="C751" s="277"/>
      <c r="M751" s="280"/>
    </row>
    <row r="752">
      <c r="A752" s="276"/>
      <c r="B752" s="276"/>
      <c r="C752" s="277"/>
      <c r="M752" s="280"/>
    </row>
    <row r="753">
      <c r="A753" s="276"/>
      <c r="B753" s="276"/>
      <c r="C753" s="277"/>
      <c r="M753" s="280"/>
    </row>
    <row r="754">
      <c r="A754" s="276"/>
      <c r="B754" s="276"/>
      <c r="C754" s="277"/>
      <c r="M754" s="280"/>
    </row>
    <row r="755">
      <c r="A755" s="276"/>
      <c r="B755" s="276"/>
      <c r="C755" s="277"/>
      <c r="M755" s="280"/>
    </row>
    <row r="756">
      <c r="A756" s="276"/>
      <c r="B756" s="276"/>
      <c r="C756" s="277"/>
      <c r="M756" s="280"/>
    </row>
    <row r="757">
      <c r="A757" s="276"/>
      <c r="B757" s="276"/>
      <c r="C757" s="277"/>
      <c r="M757" s="280"/>
    </row>
    <row r="758">
      <c r="A758" s="276"/>
      <c r="B758" s="276"/>
      <c r="C758" s="277"/>
      <c r="M758" s="280"/>
    </row>
    <row r="759">
      <c r="A759" s="276"/>
      <c r="B759" s="276"/>
      <c r="C759" s="277"/>
      <c r="M759" s="280"/>
    </row>
    <row r="760">
      <c r="A760" s="276"/>
      <c r="B760" s="276"/>
      <c r="C760" s="277"/>
      <c r="M760" s="280"/>
    </row>
    <row r="761">
      <c r="A761" s="276"/>
      <c r="B761" s="276"/>
      <c r="C761" s="277"/>
      <c r="M761" s="280"/>
    </row>
    <row r="762">
      <c r="A762" s="276"/>
      <c r="B762" s="276"/>
      <c r="C762" s="277"/>
      <c r="M762" s="280"/>
    </row>
    <row r="763">
      <c r="A763" s="276"/>
      <c r="B763" s="276"/>
      <c r="C763" s="277"/>
      <c r="M763" s="280"/>
    </row>
    <row r="764">
      <c r="A764" s="276"/>
      <c r="B764" s="276"/>
      <c r="C764" s="277"/>
      <c r="M764" s="280"/>
    </row>
    <row r="765">
      <c r="A765" s="276"/>
      <c r="B765" s="276"/>
      <c r="C765" s="277"/>
      <c r="M765" s="280"/>
    </row>
    <row r="766">
      <c r="A766" s="276"/>
      <c r="B766" s="276"/>
      <c r="C766" s="277"/>
      <c r="M766" s="280"/>
    </row>
    <row r="767">
      <c r="A767" s="276"/>
      <c r="B767" s="276"/>
      <c r="C767" s="277"/>
      <c r="M767" s="280"/>
    </row>
    <row r="768">
      <c r="A768" s="276"/>
      <c r="B768" s="276"/>
      <c r="C768" s="277"/>
      <c r="M768" s="280"/>
    </row>
    <row r="769">
      <c r="A769" s="276"/>
      <c r="B769" s="276"/>
      <c r="C769" s="277"/>
      <c r="M769" s="280"/>
    </row>
    <row r="770">
      <c r="A770" s="276"/>
      <c r="B770" s="276"/>
      <c r="C770" s="277"/>
      <c r="M770" s="280"/>
    </row>
    <row r="771">
      <c r="A771" s="276"/>
      <c r="B771" s="276"/>
      <c r="C771" s="277"/>
      <c r="M771" s="280"/>
    </row>
    <row r="772">
      <c r="A772" s="276"/>
      <c r="B772" s="276"/>
      <c r="C772" s="277"/>
      <c r="M772" s="280"/>
    </row>
    <row r="773">
      <c r="A773" s="276"/>
      <c r="B773" s="276"/>
      <c r="C773" s="277"/>
      <c r="M773" s="280"/>
    </row>
    <row r="774">
      <c r="A774" s="276"/>
      <c r="B774" s="276"/>
      <c r="C774" s="277"/>
      <c r="M774" s="280"/>
    </row>
    <row r="775">
      <c r="A775" s="276"/>
      <c r="B775" s="276"/>
      <c r="C775" s="277"/>
      <c r="M775" s="280"/>
    </row>
    <row r="776">
      <c r="A776" s="276"/>
      <c r="B776" s="276"/>
      <c r="C776" s="277"/>
      <c r="M776" s="280"/>
    </row>
    <row r="777">
      <c r="A777" s="276"/>
      <c r="B777" s="276"/>
      <c r="C777" s="277"/>
      <c r="M777" s="280"/>
    </row>
    <row r="778">
      <c r="A778" s="276"/>
      <c r="B778" s="276"/>
      <c r="C778" s="277"/>
      <c r="M778" s="280"/>
    </row>
    <row r="779">
      <c r="A779" s="276"/>
      <c r="B779" s="276"/>
      <c r="C779" s="277"/>
      <c r="M779" s="280"/>
    </row>
    <row r="780">
      <c r="A780" s="276"/>
      <c r="B780" s="276"/>
      <c r="C780" s="277"/>
      <c r="M780" s="280"/>
    </row>
    <row r="781">
      <c r="A781" s="276"/>
      <c r="B781" s="276"/>
      <c r="C781" s="277"/>
      <c r="M781" s="280"/>
    </row>
    <row r="782">
      <c r="A782" s="276"/>
      <c r="B782" s="276"/>
      <c r="C782" s="277"/>
      <c r="M782" s="280"/>
    </row>
    <row r="783">
      <c r="A783" s="276"/>
      <c r="B783" s="276"/>
      <c r="C783" s="277"/>
      <c r="M783" s="280"/>
    </row>
    <row r="784">
      <c r="A784" s="276"/>
      <c r="B784" s="276"/>
      <c r="C784" s="277"/>
      <c r="M784" s="280"/>
    </row>
    <row r="785">
      <c r="A785" s="276"/>
      <c r="B785" s="276"/>
      <c r="C785" s="277"/>
      <c r="M785" s="280"/>
    </row>
    <row r="786">
      <c r="A786" s="276"/>
      <c r="B786" s="276"/>
      <c r="C786" s="277"/>
      <c r="M786" s="280"/>
    </row>
    <row r="787">
      <c r="A787" s="276"/>
      <c r="B787" s="276"/>
      <c r="C787" s="277"/>
      <c r="M787" s="280"/>
    </row>
    <row r="788">
      <c r="A788" s="276"/>
      <c r="B788" s="276"/>
      <c r="C788" s="277"/>
      <c r="M788" s="280"/>
    </row>
    <row r="789">
      <c r="A789" s="276"/>
      <c r="B789" s="276"/>
      <c r="C789" s="277"/>
      <c r="M789" s="280"/>
    </row>
    <row r="790">
      <c r="A790" s="276"/>
      <c r="B790" s="276"/>
      <c r="C790" s="277"/>
      <c r="M790" s="280"/>
    </row>
    <row r="791">
      <c r="A791" s="276"/>
      <c r="B791" s="276"/>
      <c r="C791" s="277"/>
      <c r="M791" s="280"/>
    </row>
    <row r="792">
      <c r="A792" s="276"/>
      <c r="B792" s="276"/>
      <c r="C792" s="277"/>
      <c r="M792" s="280"/>
    </row>
    <row r="793">
      <c r="A793" s="276"/>
      <c r="B793" s="276"/>
      <c r="C793" s="277"/>
      <c r="M793" s="280"/>
    </row>
    <row r="794">
      <c r="A794" s="276"/>
      <c r="B794" s="276"/>
      <c r="C794" s="277"/>
      <c r="M794" s="280"/>
    </row>
    <row r="795">
      <c r="A795" s="276"/>
      <c r="B795" s="276"/>
      <c r="C795" s="277"/>
      <c r="M795" s="280"/>
    </row>
    <row r="796">
      <c r="A796" s="276"/>
      <c r="B796" s="276"/>
      <c r="C796" s="277"/>
      <c r="M796" s="280"/>
    </row>
    <row r="797">
      <c r="A797" s="276"/>
      <c r="B797" s="276"/>
      <c r="C797" s="277"/>
      <c r="M797" s="280"/>
    </row>
    <row r="798">
      <c r="A798" s="276"/>
      <c r="B798" s="276"/>
      <c r="C798" s="277"/>
      <c r="M798" s="280"/>
    </row>
    <row r="799">
      <c r="A799" s="276"/>
      <c r="B799" s="276"/>
      <c r="C799" s="277"/>
      <c r="M799" s="280"/>
    </row>
    <row r="800">
      <c r="A800" s="276"/>
      <c r="B800" s="276"/>
      <c r="C800" s="277"/>
      <c r="M800" s="280"/>
    </row>
    <row r="801">
      <c r="A801" s="276"/>
      <c r="B801" s="276"/>
      <c r="C801" s="277"/>
      <c r="M801" s="280"/>
    </row>
    <row r="802">
      <c r="A802" s="276"/>
      <c r="B802" s="276"/>
      <c r="C802" s="277"/>
      <c r="M802" s="280"/>
    </row>
    <row r="803">
      <c r="A803" s="276"/>
      <c r="B803" s="276"/>
      <c r="C803" s="277"/>
      <c r="M803" s="280"/>
    </row>
    <row r="804">
      <c r="A804" s="276"/>
      <c r="B804" s="276"/>
      <c r="C804" s="277"/>
      <c r="M804" s="280"/>
    </row>
    <row r="805">
      <c r="A805" s="276"/>
      <c r="B805" s="276"/>
      <c r="C805" s="277"/>
      <c r="M805" s="280"/>
    </row>
    <row r="806">
      <c r="A806" s="276"/>
      <c r="B806" s="276"/>
      <c r="C806" s="277"/>
      <c r="M806" s="280"/>
    </row>
    <row r="807">
      <c r="A807" s="276"/>
      <c r="B807" s="276"/>
      <c r="C807" s="277"/>
      <c r="M807" s="280"/>
    </row>
    <row r="808">
      <c r="A808" s="276"/>
      <c r="B808" s="276"/>
      <c r="C808" s="277"/>
      <c r="M808" s="280"/>
    </row>
    <row r="809">
      <c r="A809" s="276"/>
      <c r="B809" s="276"/>
      <c r="C809" s="277"/>
      <c r="M809" s="280"/>
    </row>
    <row r="810">
      <c r="A810" s="276"/>
      <c r="B810" s="276"/>
      <c r="C810" s="277"/>
      <c r="M810" s="280"/>
    </row>
    <row r="811">
      <c r="A811" s="276"/>
      <c r="B811" s="276"/>
      <c r="C811" s="277"/>
      <c r="M811" s="280"/>
    </row>
    <row r="812">
      <c r="A812" s="276"/>
      <c r="B812" s="276"/>
      <c r="C812" s="277"/>
      <c r="M812" s="280"/>
    </row>
    <row r="813">
      <c r="A813" s="276"/>
      <c r="B813" s="276"/>
      <c r="C813" s="277"/>
      <c r="M813" s="280"/>
    </row>
    <row r="814">
      <c r="A814" s="276"/>
      <c r="B814" s="276"/>
      <c r="C814" s="277"/>
      <c r="M814" s="280"/>
    </row>
    <row r="815">
      <c r="A815" s="276"/>
      <c r="B815" s="276"/>
      <c r="C815" s="277"/>
      <c r="M815" s="280"/>
    </row>
    <row r="816">
      <c r="A816" s="276"/>
      <c r="B816" s="276"/>
      <c r="C816" s="277"/>
      <c r="M816" s="280"/>
    </row>
    <row r="817">
      <c r="A817" s="276"/>
      <c r="B817" s="276"/>
      <c r="C817" s="277"/>
      <c r="M817" s="280"/>
    </row>
    <row r="818">
      <c r="A818" s="276"/>
      <c r="B818" s="276"/>
      <c r="C818" s="277"/>
      <c r="M818" s="280"/>
    </row>
    <row r="819">
      <c r="A819" s="276"/>
      <c r="B819" s="276"/>
      <c r="C819" s="277"/>
      <c r="M819" s="280"/>
    </row>
    <row r="820">
      <c r="A820" s="276"/>
      <c r="B820" s="276"/>
      <c r="C820" s="277"/>
      <c r="M820" s="280"/>
    </row>
    <row r="821">
      <c r="A821" s="276"/>
      <c r="B821" s="276"/>
      <c r="C821" s="277"/>
      <c r="M821" s="280"/>
    </row>
    <row r="822">
      <c r="A822" s="276"/>
      <c r="B822" s="276"/>
      <c r="C822" s="277"/>
      <c r="M822" s="280"/>
    </row>
    <row r="823">
      <c r="A823" s="276"/>
      <c r="B823" s="276"/>
      <c r="C823" s="277"/>
      <c r="M823" s="280"/>
    </row>
    <row r="824">
      <c r="A824" s="276"/>
      <c r="B824" s="276"/>
      <c r="C824" s="277"/>
      <c r="M824" s="280"/>
    </row>
    <row r="825">
      <c r="A825" s="276"/>
      <c r="B825" s="276"/>
      <c r="C825" s="277"/>
      <c r="M825" s="280"/>
    </row>
    <row r="826">
      <c r="A826" s="276"/>
      <c r="B826" s="276"/>
      <c r="C826" s="277"/>
      <c r="M826" s="280"/>
    </row>
    <row r="827">
      <c r="A827" s="276"/>
      <c r="B827" s="276"/>
      <c r="C827" s="277"/>
      <c r="M827" s="280"/>
    </row>
    <row r="828">
      <c r="A828" s="276"/>
      <c r="B828" s="276"/>
      <c r="C828" s="277"/>
      <c r="M828" s="280"/>
    </row>
    <row r="829">
      <c r="A829" s="276"/>
      <c r="B829" s="276"/>
      <c r="C829" s="277"/>
      <c r="M829" s="280"/>
    </row>
    <row r="830">
      <c r="A830" s="276"/>
      <c r="B830" s="276"/>
      <c r="C830" s="277"/>
      <c r="M830" s="280"/>
    </row>
    <row r="831">
      <c r="A831" s="276"/>
      <c r="B831" s="276"/>
      <c r="C831" s="277"/>
      <c r="M831" s="280"/>
    </row>
    <row r="832">
      <c r="A832" s="276"/>
      <c r="B832" s="276"/>
      <c r="C832" s="277"/>
      <c r="M832" s="280"/>
    </row>
    <row r="833">
      <c r="A833" s="276"/>
      <c r="B833" s="276"/>
      <c r="C833" s="277"/>
      <c r="M833" s="280"/>
    </row>
    <row r="834">
      <c r="A834" s="276"/>
      <c r="B834" s="276"/>
      <c r="C834" s="277"/>
      <c r="M834" s="280"/>
    </row>
    <row r="835">
      <c r="A835" s="276"/>
      <c r="B835" s="276"/>
      <c r="C835" s="277"/>
      <c r="M835" s="280"/>
    </row>
    <row r="836">
      <c r="A836" s="276"/>
      <c r="B836" s="276"/>
      <c r="C836" s="277"/>
      <c r="M836" s="280"/>
    </row>
    <row r="837">
      <c r="A837" s="276"/>
      <c r="B837" s="276"/>
      <c r="C837" s="277"/>
      <c r="M837" s="280"/>
    </row>
    <row r="838">
      <c r="A838" s="276"/>
      <c r="B838" s="276"/>
      <c r="C838" s="277"/>
      <c r="M838" s="280"/>
    </row>
    <row r="839">
      <c r="A839" s="276"/>
      <c r="B839" s="276"/>
      <c r="C839" s="277"/>
      <c r="M839" s="280"/>
    </row>
    <row r="840">
      <c r="A840" s="276"/>
      <c r="B840" s="276"/>
      <c r="C840" s="277"/>
      <c r="M840" s="280"/>
    </row>
    <row r="841">
      <c r="A841" s="276"/>
      <c r="B841" s="276"/>
      <c r="C841" s="277"/>
      <c r="M841" s="280"/>
    </row>
    <row r="842">
      <c r="A842" s="276"/>
      <c r="B842" s="276"/>
      <c r="C842" s="277"/>
      <c r="M842" s="280"/>
    </row>
    <row r="843">
      <c r="A843" s="276"/>
      <c r="B843" s="276"/>
      <c r="C843" s="277"/>
      <c r="M843" s="280"/>
    </row>
    <row r="844">
      <c r="A844" s="276"/>
      <c r="B844" s="276"/>
      <c r="C844" s="277"/>
      <c r="M844" s="280"/>
    </row>
    <row r="845">
      <c r="A845" s="276"/>
      <c r="B845" s="276"/>
      <c r="C845" s="277"/>
      <c r="M845" s="280"/>
    </row>
    <row r="846">
      <c r="A846" s="276"/>
      <c r="B846" s="276"/>
      <c r="C846" s="277"/>
      <c r="M846" s="280"/>
    </row>
    <row r="847">
      <c r="A847" s="276"/>
      <c r="B847" s="276"/>
      <c r="C847" s="277"/>
      <c r="M847" s="280"/>
    </row>
    <row r="848">
      <c r="A848" s="276"/>
      <c r="B848" s="276"/>
      <c r="C848" s="277"/>
      <c r="M848" s="280"/>
    </row>
    <row r="849">
      <c r="A849" s="276"/>
      <c r="B849" s="276"/>
      <c r="C849" s="277"/>
      <c r="M849" s="280"/>
    </row>
    <row r="850">
      <c r="A850" s="276"/>
      <c r="B850" s="276"/>
      <c r="C850" s="277"/>
      <c r="M850" s="280"/>
    </row>
    <row r="851">
      <c r="A851" s="276"/>
      <c r="B851" s="276"/>
      <c r="C851" s="277"/>
      <c r="M851" s="280"/>
    </row>
    <row r="852">
      <c r="A852" s="276"/>
      <c r="B852" s="276"/>
      <c r="C852" s="277"/>
      <c r="M852" s="280"/>
    </row>
    <row r="853">
      <c r="A853" s="276"/>
      <c r="B853" s="276"/>
      <c r="C853" s="277"/>
      <c r="M853" s="280"/>
    </row>
    <row r="854">
      <c r="A854" s="276"/>
      <c r="B854" s="276"/>
      <c r="C854" s="277"/>
      <c r="M854" s="280"/>
    </row>
    <row r="855">
      <c r="A855" s="276"/>
      <c r="B855" s="276"/>
      <c r="C855" s="277"/>
      <c r="M855" s="280"/>
    </row>
    <row r="856">
      <c r="A856" s="276"/>
      <c r="B856" s="276"/>
      <c r="C856" s="277"/>
      <c r="M856" s="280"/>
    </row>
    <row r="857">
      <c r="A857" s="276"/>
      <c r="B857" s="276"/>
      <c r="C857" s="277"/>
      <c r="M857" s="280"/>
    </row>
    <row r="858">
      <c r="A858" s="276"/>
      <c r="B858" s="276"/>
      <c r="C858" s="277"/>
      <c r="M858" s="280"/>
    </row>
    <row r="859">
      <c r="A859" s="276"/>
      <c r="B859" s="276"/>
      <c r="C859" s="277"/>
      <c r="M859" s="280"/>
    </row>
    <row r="860">
      <c r="A860" s="276"/>
      <c r="B860" s="276"/>
      <c r="C860" s="277"/>
      <c r="M860" s="280"/>
    </row>
    <row r="861">
      <c r="A861" s="276"/>
      <c r="B861" s="276"/>
      <c r="C861" s="277"/>
      <c r="M861" s="280"/>
    </row>
    <row r="862">
      <c r="A862" s="276"/>
      <c r="B862" s="276"/>
      <c r="C862" s="277"/>
      <c r="M862" s="280"/>
    </row>
    <row r="863">
      <c r="A863" s="276"/>
      <c r="B863" s="276"/>
      <c r="C863" s="277"/>
      <c r="M863" s="280"/>
    </row>
    <row r="864">
      <c r="A864" s="276"/>
      <c r="B864" s="276"/>
      <c r="C864" s="277"/>
      <c r="M864" s="280"/>
    </row>
    <row r="865">
      <c r="A865" s="276"/>
      <c r="B865" s="276"/>
      <c r="C865" s="277"/>
      <c r="M865" s="280"/>
    </row>
    <row r="866">
      <c r="A866" s="276"/>
      <c r="B866" s="276"/>
      <c r="C866" s="277"/>
      <c r="M866" s="280"/>
    </row>
    <row r="867">
      <c r="A867" s="276"/>
      <c r="B867" s="276"/>
      <c r="C867" s="277"/>
      <c r="M867" s="280"/>
    </row>
    <row r="868">
      <c r="A868" s="276"/>
      <c r="B868" s="276"/>
      <c r="C868" s="277"/>
      <c r="M868" s="280"/>
    </row>
    <row r="869">
      <c r="A869" s="276"/>
      <c r="B869" s="276"/>
      <c r="C869" s="277"/>
      <c r="M869" s="280"/>
    </row>
    <row r="870">
      <c r="A870" s="276"/>
      <c r="B870" s="276"/>
      <c r="C870" s="277"/>
      <c r="M870" s="280"/>
    </row>
    <row r="871">
      <c r="A871" s="276"/>
      <c r="B871" s="276"/>
      <c r="C871" s="277"/>
      <c r="M871" s="280"/>
    </row>
    <row r="872">
      <c r="A872" s="276"/>
      <c r="B872" s="276"/>
      <c r="C872" s="277"/>
      <c r="M872" s="280"/>
    </row>
    <row r="873">
      <c r="A873" s="276"/>
      <c r="B873" s="276"/>
      <c r="C873" s="277"/>
      <c r="M873" s="280"/>
    </row>
    <row r="874">
      <c r="A874" s="276"/>
      <c r="B874" s="276"/>
      <c r="C874" s="277"/>
      <c r="M874" s="280"/>
    </row>
    <row r="875">
      <c r="A875" s="276"/>
      <c r="B875" s="276"/>
      <c r="C875" s="277"/>
      <c r="M875" s="280"/>
    </row>
    <row r="876">
      <c r="A876" s="276"/>
      <c r="B876" s="276"/>
      <c r="C876" s="277"/>
      <c r="M876" s="280"/>
    </row>
    <row r="877">
      <c r="A877" s="276"/>
      <c r="B877" s="276"/>
      <c r="C877" s="277"/>
      <c r="M877" s="280"/>
    </row>
    <row r="878">
      <c r="A878" s="276"/>
      <c r="B878" s="276"/>
      <c r="C878" s="277"/>
      <c r="M878" s="280"/>
    </row>
    <row r="879">
      <c r="A879" s="276"/>
      <c r="B879" s="276"/>
      <c r="C879" s="277"/>
      <c r="M879" s="280"/>
    </row>
    <row r="880">
      <c r="A880" s="276"/>
      <c r="B880" s="276"/>
      <c r="C880" s="277"/>
      <c r="M880" s="280"/>
    </row>
    <row r="881">
      <c r="A881" s="276"/>
      <c r="B881" s="276"/>
      <c r="C881" s="277"/>
      <c r="M881" s="280"/>
    </row>
    <row r="882">
      <c r="A882" s="276"/>
      <c r="B882" s="276"/>
      <c r="C882" s="277"/>
      <c r="M882" s="280"/>
    </row>
    <row r="883">
      <c r="A883" s="276"/>
      <c r="B883" s="276"/>
      <c r="C883" s="277"/>
      <c r="M883" s="280"/>
    </row>
    <row r="884">
      <c r="A884" s="276"/>
      <c r="B884" s="276"/>
      <c r="C884" s="277"/>
      <c r="M884" s="280"/>
    </row>
    <row r="885">
      <c r="A885" s="276"/>
      <c r="B885" s="276"/>
      <c r="C885" s="277"/>
      <c r="M885" s="280"/>
    </row>
    <row r="886">
      <c r="A886" s="276"/>
      <c r="B886" s="276"/>
      <c r="C886" s="277"/>
      <c r="M886" s="280"/>
    </row>
    <row r="887">
      <c r="A887" s="276"/>
      <c r="B887" s="276"/>
      <c r="C887" s="277"/>
      <c r="M887" s="280"/>
    </row>
    <row r="888">
      <c r="A888" s="276"/>
      <c r="B888" s="276"/>
      <c r="C888" s="277"/>
      <c r="M888" s="280"/>
    </row>
    <row r="889">
      <c r="A889" s="276"/>
      <c r="B889" s="276"/>
      <c r="C889" s="277"/>
      <c r="M889" s="280"/>
    </row>
    <row r="890">
      <c r="A890" s="276"/>
      <c r="B890" s="276"/>
      <c r="C890" s="277"/>
      <c r="M890" s="280"/>
    </row>
    <row r="891">
      <c r="A891" s="276"/>
      <c r="B891" s="276"/>
      <c r="C891" s="277"/>
      <c r="M891" s="280"/>
    </row>
    <row r="892">
      <c r="A892" s="276"/>
      <c r="B892" s="276"/>
      <c r="C892" s="277"/>
      <c r="M892" s="280"/>
    </row>
    <row r="893">
      <c r="A893" s="276"/>
      <c r="B893" s="276"/>
      <c r="C893" s="277"/>
      <c r="M893" s="280"/>
    </row>
    <row r="894">
      <c r="A894" s="276"/>
      <c r="B894" s="276"/>
      <c r="C894" s="277"/>
      <c r="M894" s="280"/>
    </row>
    <row r="895">
      <c r="A895" s="276"/>
      <c r="B895" s="276"/>
      <c r="C895" s="277"/>
      <c r="M895" s="280"/>
    </row>
    <row r="896">
      <c r="A896" s="276"/>
      <c r="B896" s="276"/>
      <c r="C896" s="277"/>
      <c r="M896" s="280"/>
    </row>
    <row r="897">
      <c r="A897" s="276"/>
      <c r="B897" s="276"/>
      <c r="C897" s="277"/>
      <c r="M897" s="280"/>
    </row>
    <row r="898">
      <c r="A898" s="276"/>
      <c r="B898" s="276"/>
      <c r="C898" s="277"/>
      <c r="M898" s="280"/>
    </row>
    <row r="899">
      <c r="A899" s="276"/>
      <c r="B899" s="276"/>
      <c r="C899" s="277"/>
      <c r="M899" s="280"/>
    </row>
    <row r="900">
      <c r="A900" s="276"/>
      <c r="B900" s="276"/>
      <c r="C900" s="277"/>
      <c r="M900" s="280"/>
    </row>
    <row r="901">
      <c r="A901" s="276"/>
      <c r="B901" s="276"/>
      <c r="C901" s="277"/>
      <c r="M901" s="280"/>
    </row>
    <row r="902">
      <c r="A902" s="276"/>
      <c r="B902" s="276"/>
      <c r="C902" s="277"/>
      <c r="M902" s="280"/>
    </row>
    <row r="903">
      <c r="A903" s="276"/>
      <c r="B903" s="276"/>
      <c r="C903" s="277"/>
      <c r="M903" s="280"/>
    </row>
    <row r="904">
      <c r="A904" s="276"/>
      <c r="B904" s="276"/>
      <c r="C904" s="277"/>
      <c r="M904" s="280"/>
    </row>
    <row r="905">
      <c r="A905" s="276"/>
      <c r="B905" s="276"/>
      <c r="C905" s="277"/>
      <c r="M905" s="280"/>
    </row>
    <row r="906">
      <c r="A906" s="276"/>
      <c r="B906" s="276"/>
      <c r="C906" s="277"/>
      <c r="M906" s="280"/>
    </row>
    <row r="907">
      <c r="A907" s="276"/>
      <c r="B907" s="276"/>
      <c r="C907" s="277"/>
      <c r="M907" s="280"/>
    </row>
    <row r="908">
      <c r="A908" s="276"/>
      <c r="B908" s="276"/>
      <c r="C908" s="277"/>
      <c r="M908" s="280"/>
    </row>
    <row r="909">
      <c r="A909" s="276"/>
      <c r="B909" s="276"/>
      <c r="C909" s="277"/>
      <c r="M909" s="280"/>
    </row>
    <row r="910">
      <c r="A910" s="276"/>
      <c r="B910" s="276"/>
      <c r="C910" s="277"/>
      <c r="M910" s="280"/>
    </row>
    <row r="911">
      <c r="A911" s="276"/>
      <c r="B911" s="276"/>
      <c r="C911" s="277"/>
      <c r="M911" s="280"/>
    </row>
    <row r="912">
      <c r="A912" s="276"/>
      <c r="B912" s="276"/>
      <c r="C912" s="277"/>
      <c r="M912" s="280"/>
    </row>
    <row r="913">
      <c r="A913" s="276"/>
      <c r="B913" s="276"/>
      <c r="C913" s="277"/>
      <c r="M913" s="280"/>
    </row>
    <row r="914">
      <c r="A914" s="276"/>
      <c r="B914" s="276"/>
      <c r="C914" s="277"/>
      <c r="M914" s="280"/>
    </row>
    <row r="915">
      <c r="A915" s="276"/>
      <c r="B915" s="276"/>
      <c r="C915" s="277"/>
      <c r="M915" s="280"/>
    </row>
    <row r="916">
      <c r="A916" s="276"/>
      <c r="B916" s="276"/>
      <c r="C916" s="277"/>
      <c r="M916" s="280"/>
    </row>
    <row r="917">
      <c r="A917" s="276"/>
      <c r="B917" s="276"/>
      <c r="C917" s="277"/>
      <c r="M917" s="280"/>
    </row>
    <row r="918">
      <c r="A918" s="276"/>
      <c r="B918" s="276"/>
      <c r="C918" s="277"/>
      <c r="M918" s="280"/>
    </row>
    <row r="919">
      <c r="A919" s="276"/>
      <c r="B919" s="276"/>
      <c r="C919" s="277"/>
      <c r="M919" s="280"/>
    </row>
    <row r="920">
      <c r="A920" s="276"/>
      <c r="B920" s="276"/>
      <c r="C920" s="277"/>
      <c r="M920" s="280"/>
    </row>
    <row r="921">
      <c r="A921" s="276"/>
      <c r="B921" s="276"/>
      <c r="C921" s="277"/>
      <c r="M921" s="280"/>
    </row>
    <row r="922">
      <c r="A922" s="276"/>
      <c r="B922" s="276"/>
      <c r="C922" s="277"/>
      <c r="M922" s="280"/>
    </row>
    <row r="923">
      <c r="A923" s="276"/>
      <c r="B923" s="276"/>
      <c r="C923" s="277"/>
      <c r="M923" s="280"/>
    </row>
    <row r="924">
      <c r="A924" s="276"/>
      <c r="B924" s="276"/>
      <c r="C924" s="277"/>
      <c r="M924" s="280"/>
    </row>
    <row r="925">
      <c r="A925" s="276"/>
      <c r="B925" s="276"/>
      <c r="C925" s="277"/>
      <c r="M925" s="280"/>
    </row>
    <row r="926">
      <c r="A926" s="276"/>
      <c r="B926" s="276"/>
      <c r="C926" s="277"/>
      <c r="M926" s="280"/>
    </row>
    <row r="927">
      <c r="A927" s="276"/>
      <c r="B927" s="276"/>
      <c r="C927" s="277"/>
      <c r="M927" s="280"/>
    </row>
    <row r="928">
      <c r="A928" s="276"/>
      <c r="B928" s="276"/>
      <c r="C928" s="277"/>
      <c r="M928" s="280"/>
    </row>
    <row r="929">
      <c r="A929" s="276"/>
      <c r="B929" s="276"/>
      <c r="C929" s="277"/>
      <c r="M929" s="280"/>
    </row>
    <row r="930">
      <c r="A930" s="276"/>
      <c r="B930" s="276"/>
      <c r="C930" s="277"/>
      <c r="M930" s="280"/>
    </row>
    <row r="931">
      <c r="A931" s="276"/>
      <c r="B931" s="276"/>
      <c r="C931" s="277"/>
      <c r="M931" s="280"/>
    </row>
    <row r="932">
      <c r="A932" s="276"/>
      <c r="B932" s="276"/>
      <c r="C932" s="277"/>
      <c r="M932" s="280"/>
    </row>
    <row r="933">
      <c r="A933" s="276"/>
      <c r="B933" s="276"/>
      <c r="C933" s="277"/>
      <c r="M933" s="280"/>
    </row>
    <row r="934">
      <c r="A934" s="276"/>
      <c r="B934" s="276"/>
      <c r="C934" s="277"/>
      <c r="M934" s="280"/>
    </row>
    <row r="935">
      <c r="A935" s="276"/>
      <c r="B935" s="276"/>
      <c r="C935" s="277"/>
      <c r="M935" s="280"/>
    </row>
    <row r="936">
      <c r="A936" s="276"/>
      <c r="B936" s="276"/>
      <c r="C936" s="277"/>
      <c r="M936" s="280"/>
    </row>
    <row r="937">
      <c r="A937" s="276"/>
      <c r="B937" s="276"/>
      <c r="C937" s="277"/>
      <c r="M937" s="280"/>
    </row>
    <row r="938">
      <c r="A938" s="276"/>
      <c r="B938" s="276"/>
      <c r="C938" s="277"/>
      <c r="M938" s="280"/>
    </row>
    <row r="939">
      <c r="A939" s="276"/>
      <c r="B939" s="276"/>
      <c r="C939" s="277"/>
      <c r="M939" s="280"/>
    </row>
    <row r="940">
      <c r="A940" s="276"/>
      <c r="B940" s="276"/>
      <c r="C940" s="277"/>
      <c r="M940" s="280"/>
    </row>
    <row r="941">
      <c r="A941" s="276"/>
      <c r="B941" s="276"/>
      <c r="C941" s="277"/>
      <c r="M941" s="280"/>
    </row>
    <row r="942">
      <c r="A942" s="276"/>
      <c r="B942" s="276"/>
      <c r="C942" s="277"/>
      <c r="M942" s="280"/>
    </row>
    <row r="943">
      <c r="A943" s="276"/>
      <c r="B943" s="276"/>
      <c r="C943" s="277"/>
      <c r="M943" s="280"/>
    </row>
    <row r="944">
      <c r="A944" s="276"/>
      <c r="B944" s="276"/>
      <c r="C944" s="277"/>
      <c r="M944" s="280"/>
    </row>
    <row r="945">
      <c r="A945" s="276"/>
      <c r="B945" s="276"/>
      <c r="C945" s="277"/>
      <c r="M945" s="280"/>
    </row>
    <row r="946">
      <c r="A946" s="276"/>
      <c r="B946" s="276"/>
      <c r="C946" s="277"/>
      <c r="M946" s="280"/>
    </row>
    <row r="947">
      <c r="A947" s="276"/>
      <c r="B947" s="276"/>
      <c r="C947" s="277"/>
      <c r="M947" s="280"/>
    </row>
    <row r="948">
      <c r="A948" s="276"/>
      <c r="B948" s="276"/>
      <c r="C948" s="277"/>
      <c r="M948" s="280"/>
    </row>
    <row r="949">
      <c r="A949" s="276"/>
      <c r="B949" s="276"/>
      <c r="C949" s="277"/>
      <c r="M949" s="280"/>
    </row>
    <row r="950">
      <c r="A950" s="276"/>
      <c r="B950" s="276"/>
      <c r="C950" s="277"/>
      <c r="M950" s="280"/>
    </row>
    <row r="951">
      <c r="A951" s="276"/>
      <c r="B951" s="276"/>
      <c r="C951" s="277"/>
      <c r="M951" s="280"/>
    </row>
    <row r="952">
      <c r="A952" s="276"/>
      <c r="B952" s="276"/>
      <c r="C952" s="277"/>
      <c r="M952" s="280"/>
    </row>
    <row r="953">
      <c r="A953" s="276"/>
      <c r="B953" s="276"/>
      <c r="C953" s="277"/>
      <c r="M953" s="280"/>
    </row>
    <row r="954">
      <c r="A954" s="276"/>
      <c r="B954" s="276"/>
      <c r="C954" s="277"/>
      <c r="M954" s="280"/>
    </row>
    <row r="955">
      <c r="A955" s="276"/>
      <c r="B955" s="276"/>
      <c r="C955" s="277"/>
      <c r="M955" s="280"/>
    </row>
    <row r="956">
      <c r="A956" s="276"/>
      <c r="B956" s="276"/>
      <c r="C956" s="277"/>
      <c r="M956" s="280"/>
    </row>
    <row r="957">
      <c r="A957" s="276"/>
      <c r="B957" s="276"/>
      <c r="C957" s="277"/>
      <c r="M957" s="280"/>
    </row>
    <row r="958">
      <c r="A958" s="276"/>
      <c r="B958" s="276"/>
      <c r="C958" s="277"/>
      <c r="M958" s="280"/>
    </row>
    <row r="959">
      <c r="A959" s="276"/>
      <c r="B959" s="276"/>
      <c r="C959" s="277"/>
      <c r="M959" s="280"/>
    </row>
    <row r="960">
      <c r="A960" s="276"/>
      <c r="B960" s="276"/>
      <c r="C960" s="277"/>
      <c r="M960" s="280"/>
    </row>
    <row r="961">
      <c r="A961" s="276"/>
      <c r="B961" s="276"/>
      <c r="C961" s="277"/>
      <c r="M961" s="280"/>
    </row>
    <row r="962">
      <c r="A962" s="276"/>
      <c r="B962" s="276"/>
      <c r="C962" s="277"/>
      <c r="M962" s="280"/>
    </row>
    <row r="963">
      <c r="A963" s="276"/>
      <c r="B963" s="276"/>
      <c r="C963" s="277"/>
      <c r="M963" s="280"/>
    </row>
    <row r="964">
      <c r="A964" s="276"/>
      <c r="B964" s="276"/>
      <c r="C964" s="277"/>
      <c r="M964" s="280"/>
    </row>
    <row r="965">
      <c r="A965" s="276"/>
      <c r="B965" s="276"/>
      <c r="C965" s="277"/>
      <c r="M965" s="280"/>
    </row>
    <row r="966">
      <c r="A966" s="276"/>
      <c r="B966" s="276"/>
      <c r="C966" s="277"/>
      <c r="M966" s="280"/>
    </row>
    <row r="967">
      <c r="A967" s="276"/>
      <c r="B967" s="276"/>
      <c r="C967" s="277"/>
      <c r="M967" s="280"/>
    </row>
    <row r="968">
      <c r="A968" s="276"/>
      <c r="B968" s="276"/>
      <c r="C968" s="277"/>
      <c r="M968" s="280"/>
    </row>
    <row r="969">
      <c r="A969" s="276"/>
      <c r="B969" s="276"/>
      <c r="C969" s="277"/>
      <c r="M969" s="280"/>
    </row>
    <row r="970">
      <c r="A970" s="276"/>
      <c r="B970" s="276"/>
      <c r="C970" s="277"/>
      <c r="M970" s="280"/>
    </row>
    <row r="971">
      <c r="A971" s="276"/>
      <c r="B971" s="276"/>
      <c r="C971" s="277"/>
      <c r="M971" s="280"/>
    </row>
    <row r="972">
      <c r="A972" s="276"/>
      <c r="B972" s="276"/>
      <c r="C972" s="277"/>
      <c r="M972" s="280"/>
    </row>
    <row r="973">
      <c r="A973" s="276"/>
      <c r="B973" s="276"/>
      <c r="C973" s="277"/>
      <c r="M973" s="280"/>
    </row>
    <row r="974">
      <c r="A974" s="276"/>
      <c r="B974" s="276"/>
      <c r="C974" s="277"/>
      <c r="M974" s="280"/>
    </row>
    <row r="975">
      <c r="A975" s="276"/>
      <c r="B975" s="276"/>
      <c r="C975" s="277"/>
      <c r="M975" s="280"/>
    </row>
    <row r="976">
      <c r="A976" s="276"/>
      <c r="B976" s="276"/>
      <c r="C976" s="277"/>
      <c r="M976" s="280"/>
    </row>
    <row r="977">
      <c r="A977" s="276"/>
      <c r="B977" s="276"/>
      <c r="C977" s="277"/>
      <c r="M977" s="280"/>
    </row>
    <row r="978">
      <c r="A978" s="276"/>
      <c r="B978" s="276"/>
      <c r="C978" s="277"/>
      <c r="M978" s="280"/>
    </row>
    <row r="979">
      <c r="A979" s="276"/>
      <c r="B979" s="276"/>
      <c r="C979" s="277"/>
      <c r="M979" s="280"/>
    </row>
    <row r="980">
      <c r="A980" s="276"/>
      <c r="B980" s="276"/>
      <c r="C980" s="277"/>
      <c r="M980" s="280"/>
    </row>
    <row r="981">
      <c r="A981" s="276"/>
      <c r="B981" s="276"/>
      <c r="C981" s="277"/>
      <c r="M981" s="280"/>
    </row>
    <row r="982">
      <c r="A982" s="276"/>
      <c r="B982" s="276"/>
      <c r="C982" s="277"/>
      <c r="M982" s="280"/>
    </row>
    <row r="983">
      <c r="A983" s="276"/>
      <c r="B983" s="276"/>
      <c r="C983" s="277"/>
      <c r="M983" s="280"/>
    </row>
    <row r="984">
      <c r="A984" s="276"/>
      <c r="B984" s="276"/>
      <c r="C984" s="277"/>
      <c r="M984" s="280"/>
    </row>
    <row r="985">
      <c r="A985" s="276"/>
      <c r="B985" s="276"/>
      <c r="C985" s="277"/>
      <c r="M985" s="280"/>
    </row>
    <row r="986">
      <c r="A986" s="276"/>
      <c r="B986" s="276"/>
      <c r="C986" s="277"/>
      <c r="M986" s="280"/>
    </row>
    <row r="987">
      <c r="A987" s="276"/>
      <c r="B987" s="276"/>
      <c r="C987" s="277"/>
      <c r="M987" s="280"/>
    </row>
    <row r="988">
      <c r="A988" s="276"/>
      <c r="B988" s="276"/>
      <c r="C988" s="277"/>
      <c r="M988" s="280"/>
    </row>
    <row r="989">
      <c r="A989" s="276"/>
      <c r="B989" s="276"/>
      <c r="C989" s="277"/>
      <c r="M989" s="280"/>
    </row>
    <row r="990">
      <c r="A990" s="276"/>
      <c r="B990" s="276"/>
      <c r="C990" s="277"/>
      <c r="M990" s="280"/>
    </row>
    <row r="991">
      <c r="A991" s="276"/>
      <c r="B991" s="276"/>
      <c r="C991" s="277"/>
      <c r="M991" s="280"/>
    </row>
    <row r="992">
      <c r="A992" s="276"/>
      <c r="B992" s="276"/>
      <c r="C992" s="277"/>
      <c r="M992" s="280"/>
    </row>
    <row r="993">
      <c r="A993" s="276"/>
      <c r="B993" s="276"/>
      <c r="C993" s="277"/>
      <c r="M993" s="280"/>
    </row>
    <row r="994">
      <c r="A994" s="276"/>
      <c r="B994" s="276"/>
      <c r="C994" s="277"/>
      <c r="M994" s="280"/>
    </row>
    <row r="995">
      <c r="A995" s="276"/>
      <c r="B995" s="276"/>
      <c r="C995" s="277"/>
      <c r="M995" s="280"/>
    </row>
    <row r="996">
      <c r="A996" s="276"/>
      <c r="B996" s="276"/>
      <c r="C996" s="277"/>
      <c r="M996" s="280"/>
    </row>
    <row r="997">
      <c r="A997" s="276"/>
      <c r="B997" s="276"/>
      <c r="C997" s="277"/>
      <c r="M997" s="280"/>
    </row>
    <row r="998">
      <c r="A998" s="276"/>
      <c r="B998" s="276"/>
      <c r="C998" s="277"/>
      <c r="M998" s="280"/>
    </row>
    <row r="999">
      <c r="A999" s="276"/>
      <c r="B999" s="276"/>
      <c r="C999" s="277"/>
      <c r="M999" s="280"/>
    </row>
  </sheetData>
  <mergeCells count="2">
    <mergeCell ref="B2:G2"/>
    <mergeCell ref="H2:I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8.63"/>
    <col customWidth="1" min="2" max="2" width="17.13"/>
    <col customWidth="1" min="3" max="3" width="46.75"/>
  </cols>
  <sheetData>
    <row r="1">
      <c r="A1" s="286" t="s">
        <v>535</v>
      </c>
      <c r="D1" s="287"/>
    </row>
    <row r="2">
      <c r="D2" s="287"/>
    </row>
    <row r="3">
      <c r="A3" s="288" t="s">
        <v>536</v>
      </c>
      <c r="B3" s="289"/>
      <c r="C3" s="289"/>
      <c r="D3" s="287"/>
    </row>
    <row r="4">
      <c r="A4" s="290" t="s">
        <v>537</v>
      </c>
      <c r="B4" s="291"/>
      <c r="C4" s="292"/>
      <c r="D4" s="287"/>
    </row>
    <row r="5">
      <c r="A5" s="290" t="s">
        <v>538</v>
      </c>
      <c r="B5" s="293"/>
      <c r="C5" s="292"/>
      <c r="D5" s="287"/>
    </row>
    <row r="6">
      <c r="A6" s="290" t="s">
        <v>539</v>
      </c>
      <c r="B6" s="293"/>
      <c r="C6" s="292"/>
      <c r="D6" s="287"/>
    </row>
    <row r="7">
      <c r="A7" s="290" t="s">
        <v>540</v>
      </c>
      <c r="B7" s="293"/>
      <c r="C7" s="292"/>
      <c r="D7" s="287"/>
    </row>
    <row r="8">
      <c r="A8" s="290" t="s">
        <v>541</v>
      </c>
      <c r="B8" s="293"/>
      <c r="C8" s="292"/>
      <c r="D8" s="287"/>
    </row>
    <row r="9">
      <c r="A9" s="290" t="s">
        <v>542</v>
      </c>
      <c r="B9" s="293"/>
      <c r="C9" s="292"/>
      <c r="D9" s="287"/>
    </row>
    <row r="10">
      <c r="A10" s="294"/>
      <c r="B10" s="294"/>
      <c r="C10" s="287"/>
      <c r="D10" s="287"/>
    </row>
    <row r="11">
      <c r="A11" s="295" t="s">
        <v>543</v>
      </c>
      <c r="D11" s="287"/>
    </row>
    <row r="12">
      <c r="A12" s="296" t="s">
        <v>544</v>
      </c>
      <c r="B12" s="293"/>
      <c r="C12" s="292"/>
      <c r="D12" s="287"/>
    </row>
    <row r="13">
      <c r="A13" s="294"/>
      <c r="B13" s="294"/>
      <c r="C13" s="287"/>
      <c r="D13" s="287"/>
    </row>
    <row r="14">
      <c r="A14" s="295" t="s">
        <v>545</v>
      </c>
      <c r="D14" s="287"/>
    </row>
    <row r="16">
      <c r="A16" s="297" t="s">
        <v>546</v>
      </c>
      <c r="B16" s="297" t="s">
        <v>547</v>
      </c>
      <c r="C16" s="297" t="s">
        <v>548</v>
      </c>
      <c r="D16" s="298"/>
    </row>
    <row r="17" ht="44.25" customHeight="1">
      <c r="A17" s="299" t="s">
        <v>549</v>
      </c>
      <c r="B17" s="300" t="b">
        <v>0</v>
      </c>
      <c r="C17" s="301"/>
      <c r="D17" s="302"/>
      <c r="E17" s="45"/>
      <c r="F17" s="45"/>
      <c r="G17" s="45"/>
      <c r="H17" s="45"/>
      <c r="I17" s="45"/>
      <c r="J17" s="259"/>
      <c r="K17" s="259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44.25" customHeight="1">
      <c r="A18" s="299" t="s">
        <v>550</v>
      </c>
      <c r="B18" s="300" t="b">
        <v>0</v>
      </c>
      <c r="C18" s="301"/>
      <c r="D18" s="302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44.25" customHeight="1">
      <c r="A19" s="299" t="s">
        <v>551</v>
      </c>
      <c r="B19" s="303" t="b">
        <v>0</v>
      </c>
      <c r="C19" s="300"/>
      <c r="D19" s="302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44.25" customHeight="1">
      <c r="A20" s="299" t="s">
        <v>552</v>
      </c>
      <c r="B20" s="300" t="b">
        <v>0</v>
      </c>
      <c r="C20" s="300"/>
      <c r="D20" s="302"/>
      <c r="E20" s="45"/>
      <c r="F20" s="45"/>
      <c r="G20" s="45"/>
      <c r="H20" s="45"/>
      <c r="I20" s="259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287"/>
      <c r="B21" s="287"/>
      <c r="C21" s="287"/>
      <c r="D21" s="287"/>
    </row>
    <row r="22">
      <c r="A22" s="288" t="s">
        <v>52</v>
      </c>
      <c r="B22" s="289"/>
      <c r="C22" s="292"/>
      <c r="D22" s="287"/>
    </row>
    <row r="23">
      <c r="A23" s="304" t="s">
        <v>553</v>
      </c>
      <c r="B23" s="305"/>
      <c r="C23" s="292"/>
      <c r="D23" s="287"/>
    </row>
    <row r="24">
      <c r="A24" s="287"/>
      <c r="B24" s="287"/>
      <c r="C24" s="287"/>
      <c r="D24" s="287"/>
    </row>
    <row r="25">
      <c r="A25" s="287"/>
      <c r="B25" s="287"/>
      <c r="C25" s="287"/>
      <c r="D25" s="287"/>
    </row>
    <row r="26">
      <c r="A26" s="288" t="s">
        <v>554</v>
      </c>
      <c r="B26" s="289"/>
      <c r="C26" s="292"/>
      <c r="D26" s="287"/>
    </row>
    <row r="27">
      <c r="A27" s="297" t="s">
        <v>546</v>
      </c>
      <c r="B27" s="297" t="s">
        <v>547</v>
      </c>
      <c r="C27" s="297" t="s">
        <v>548</v>
      </c>
      <c r="D27" s="298"/>
    </row>
    <row r="28" ht="63.0" customHeight="1">
      <c r="A28" s="306" t="s">
        <v>555</v>
      </c>
      <c r="B28" s="307" t="b">
        <v>0</v>
      </c>
      <c r="C28" s="306" t="s">
        <v>556</v>
      </c>
      <c r="D28" s="30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  <c r="AA28" s="258"/>
    </row>
    <row r="29" ht="42.75" customHeight="1">
      <c r="A29" s="306" t="s">
        <v>557</v>
      </c>
      <c r="B29" s="309" t="b">
        <v>0</v>
      </c>
      <c r="C29" s="306"/>
      <c r="D29" s="30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  <c r="AA29" s="258"/>
    </row>
    <row r="30" ht="65.25" customHeight="1">
      <c r="A30" s="306" t="s">
        <v>558</v>
      </c>
      <c r="B30" s="307" t="b">
        <v>0</v>
      </c>
      <c r="C30" s="306"/>
      <c r="D30" s="30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</row>
    <row r="31">
      <c r="A31" s="310"/>
      <c r="B31" s="311"/>
      <c r="C31" s="287"/>
      <c r="D31" s="287"/>
    </row>
    <row r="32">
      <c r="A32" s="287"/>
      <c r="B32" s="287"/>
      <c r="C32" s="287"/>
      <c r="D32" s="287"/>
    </row>
    <row r="33">
      <c r="A33" s="287"/>
      <c r="B33" s="287"/>
      <c r="C33" s="287"/>
      <c r="D33" s="287"/>
    </row>
  </sheetData>
  <mergeCells count="14">
    <mergeCell ref="B9:C9"/>
    <mergeCell ref="A11:C11"/>
    <mergeCell ref="B12:C12"/>
    <mergeCell ref="A14:C14"/>
    <mergeCell ref="A22:C22"/>
    <mergeCell ref="B23:C23"/>
    <mergeCell ref="A26:C26"/>
    <mergeCell ref="A1:C2"/>
    <mergeCell ref="A3:C3"/>
    <mergeCell ref="B4:C4"/>
    <mergeCell ref="B5:C5"/>
    <mergeCell ref="B6:C6"/>
    <mergeCell ref="B7:C7"/>
    <mergeCell ref="B8:C8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2.75"/>
    <col customWidth="1" min="3" max="3" width="14.5"/>
    <col customWidth="1" min="4" max="4" width="18.25"/>
    <col customWidth="1" min="5" max="6" width="20.0"/>
    <col customWidth="1" min="7" max="7" width="16.63"/>
    <col customWidth="1" min="8" max="8" width="24.5"/>
  </cols>
  <sheetData>
    <row r="1" ht="15.75" customHeight="1"/>
    <row r="2" ht="45.0" customHeight="1">
      <c r="B2" s="312" t="s">
        <v>106</v>
      </c>
      <c r="C2" s="313" t="s">
        <v>559</v>
      </c>
      <c r="D2" s="312" t="s">
        <v>560</v>
      </c>
      <c r="E2" s="312" t="s">
        <v>315</v>
      </c>
      <c r="F2" s="312" t="s">
        <v>119</v>
      </c>
      <c r="G2" s="314" t="s">
        <v>561</v>
      </c>
      <c r="H2" s="222" t="s">
        <v>562</v>
      </c>
    </row>
    <row r="3" ht="15.75" customHeight="1">
      <c r="B3" s="195" t="s">
        <v>563</v>
      </c>
      <c r="C3" s="195" t="s">
        <v>564</v>
      </c>
      <c r="D3" s="27" t="s">
        <v>565</v>
      </c>
      <c r="E3" s="315" t="s">
        <v>319</v>
      </c>
      <c r="F3" s="316" t="s">
        <v>526</v>
      </c>
      <c r="G3" s="316" t="s">
        <v>566</v>
      </c>
      <c r="H3" s="197" t="s">
        <v>324</v>
      </c>
    </row>
    <row r="4" ht="15.75" customHeight="1">
      <c r="B4" s="198" t="s">
        <v>567</v>
      </c>
      <c r="C4" s="195" t="s">
        <v>568</v>
      </c>
      <c r="D4" s="27" t="s">
        <v>569</v>
      </c>
      <c r="E4" s="195" t="s">
        <v>316</v>
      </c>
      <c r="F4" s="316" t="s">
        <v>522</v>
      </c>
      <c r="G4" s="317" t="s">
        <v>570</v>
      </c>
      <c r="H4" s="197" t="s">
        <v>331</v>
      </c>
    </row>
    <row r="5" ht="15.75" customHeight="1">
      <c r="B5" s="195"/>
      <c r="C5" s="198" t="s">
        <v>571</v>
      </c>
      <c r="D5" s="27" t="s">
        <v>572</v>
      </c>
      <c r="E5" s="195" t="s">
        <v>317</v>
      </c>
      <c r="F5" s="197" t="s">
        <v>520</v>
      </c>
      <c r="G5" s="317" t="s">
        <v>334</v>
      </c>
      <c r="H5" s="197" t="s">
        <v>573</v>
      </c>
    </row>
    <row r="6" ht="15.75" customHeight="1">
      <c r="B6" s="195"/>
      <c r="C6" s="195" t="s">
        <v>574</v>
      </c>
      <c r="D6" s="318"/>
      <c r="E6" s="195" t="s">
        <v>318</v>
      </c>
      <c r="F6" s="316" t="s">
        <v>319</v>
      </c>
      <c r="G6" s="317" t="s">
        <v>575</v>
      </c>
      <c r="H6" s="197" t="s">
        <v>576</v>
      </c>
    </row>
    <row r="7" ht="15.75" customHeight="1">
      <c r="B7" s="195"/>
      <c r="C7" s="195"/>
      <c r="D7" s="318"/>
      <c r="E7" s="319" t="s">
        <v>321</v>
      </c>
      <c r="F7" s="316" t="s">
        <v>321</v>
      </c>
      <c r="G7" s="317" t="s">
        <v>331</v>
      </c>
      <c r="H7" s="197" t="s">
        <v>577</v>
      </c>
    </row>
    <row r="8" ht="15.75" customHeight="1">
      <c r="B8" s="195"/>
      <c r="C8" s="195"/>
      <c r="D8" s="318"/>
      <c r="E8" s="319" t="s">
        <v>320</v>
      </c>
      <c r="F8" s="316" t="s">
        <v>320</v>
      </c>
      <c r="G8" s="317" t="s">
        <v>578</v>
      </c>
      <c r="H8" s="197" t="s">
        <v>579</v>
      </c>
    </row>
    <row r="9" ht="15.75" customHeight="1">
      <c r="B9" s="195"/>
      <c r="C9" s="195"/>
      <c r="D9" s="318"/>
      <c r="F9" s="320" t="s">
        <v>528</v>
      </c>
      <c r="G9" s="317" t="s">
        <v>580</v>
      </c>
    </row>
    <row r="10" ht="15.75" customHeight="1">
      <c r="B10" s="195"/>
      <c r="C10" s="195"/>
      <c r="D10" s="318"/>
      <c r="F10" s="321"/>
      <c r="G10" s="317" t="s">
        <v>581</v>
      </c>
    </row>
    <row r="11" ht="15.75" customHeight="1">
      <c r="B11" s="195"/>
      <c r="C11" s="195"/>
      <c r="D11" s="318"/>
      <c r="F11" s="321"/>
      <c r="G11" s="317" t="s">
        <v>582</v>
      </c>
    </row>
    <row r="12" ht="15.75" customHeight="1">
      <c r="B12" s="195"/>
      <c r="C12" s="195"/>
      <c r="D12" s="188"/>
      <c r="E12" s="321"/>
      <c r="F12" s="321"/>
      <c r="G12" s="317"/>
      <c r="H12" s="197"/>
    </row>
    <row r="13" ht="15.75" customHeight="1">
      <c r="B13" s="195"/>
      <c r="C13" s="195"/>
      <c r="D13" s="195"/>
      <c r="E13" s="321"/>
      <c r="F13" s="321"/>
      <c r="H13" s="197"/>
    </row>
    <row r="14" ht="15.75" customHeight="1">
      <c r="B14" s="321"/>
      <c r="C14" s="321"/>
      <c r="D14" s="195"/>
      <c r="E14" s="321"/>
      <c r="F14" s="321"/>
      <c r="G14" s="322"/>
    </row>
    <row r="15" ht="15.75" customHeight="1">
      <c r="B15" s="321"/>
      <c r="C15" s="321"/>
      <c r="D15" s="195"/>
      <c r="E15" s="321"/>
      <c r="F15" s="321"/>
      <c r="G15" s="317"/>
    </row>
    <row r="16" ht="15.75" customHeight="1">
      <c r="B16" s="321"/>
      <c r="C16" s="321"/>
      <c r="D16" s="195"/>
      <c r="E16" s="321"/>
      <c r="F16" s="321"/>
      <c r="G16" s="317"/>
    </row>
    <row r="17" ht="15.75" customHeight="1">
      <c r="B17" s="323"/>
      <c r="C17" s="323"/>
      <c r="D17" s="324"/>
      <c r="E17" s="323"/>
      <c r="F17" s="323"/>
      <c r="G17" s="322"/>
      <c r="H17" s="197"/>
    </row>
    <row r="18" ht="15.75" customHeight="1">
      <c r="B18" s="321"/>
      <c r="C18" s="321"/>
      <c r="D18" s="321"/>
      <c r="E18" s="32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29.63"/>
    <col customWidth="1" min="3" max="3" width="95.38"/>
  </cols>
  <sheetData>
    <row r="1">
      <c r="A1" s="325" t="s">
        <v>505</v>
      </c>
      <c r="B1" s="326"/>
      <c r="C1" s="326"/>
    </row>
    <row r="2">
      <c r="A2" s="327" t="s">
        <v>583</v>
      </c>
      <c r="B2" s="328" t="s">
        <v>584</v>
      </c>
      <c r="C2" s="328" t="s">
        <v>585</v>
      </c>
    </row>
    <row r="3">
      <c r="A3" s="327" t="s">
        <v>586</v>
      </c>
      <c r="B3" s="329" t="s">
        <v>587</v>
      </c>
      <c r="C3" s="329" t="s">
        <v>587</v>
      </c>
      <c r="D3" s="330" t="b">
        <v>1</v>
      </c>
    </row>
    <row r="4">
      <c r="A4" s="287"/>
      <c r="B4" s="331"/>
      <c r="C4" s="331"/>
    </row>
    <row r="5">
      <c r="A5" s="327" t="s">
        <v>588</v>
      </c>
      <c r="B5" s="329" t="s">
        <v>589</v>
      </c>
      <c r="C5" s="329" t="s">
        <v>590</v>
      </c>
      <c r="D5" s="330" t="b">
        <v>1</v>
      </c>
    </row>
    <row r="6">
      <c r="A6" s="287"/>
      <c r="B6" s="331"/>
      <c r="C6" s="329" t="s">
        <v>591</v>
      </c>
      <c r="D6" s="330" t="b">
        <v>1</v>
      </c>
    </row>
    <row r="7">
      <c r="A7" s="287"/>
      <c r="B7" s="331"/>
      <c r="C7" s="329" t="s">
        <v>592</v>
      </c>
      <c r="D7" s="330" t="b">
        <v>1</v>
      </c>
    </row>
    <row r="8">
      <c r="A8" s="287"/>
      <c r="B8" s="331"/>
      <c r="C8" s="329" t="s">
        <v>593</v>
      </c>
      <c r="D8" s="330" t="b">
        <v>1</v>
      </c>
    </row>
    <row r="9">
      <c r="A9" s="287"/>
      <c r="B9" s="331"/>
      <c r="C9" s="329" t="s">
        <v>594</v>
      </c>
    </row>
    <row r="10">
      <c r="A10" s="287"/>
      <c r="B10" s="331"/>
      <c r="C10" s="331"/>
    </row>
    <row r="11">
      <c r="A11" s="287"/>
      <c r="B11" s="329" t="s">
        <v>595</v>
      </c>
      <c r="C11" s="329" t="s">
        <v>596</v>
      </c>
      <c r="D11" s="330" t="b">
        <v>1</v>
      </c>
    </row>
    <row r="12">
      <c r="A12" s="287"/>
      <c r="B12" s="331"/>
      <c r="C12" s="329" t="s">
        <v>597</v>
      </c>
      <c r="D12" s="330" t="b">
        <v>1</v>
      </c>
    </row>
    <row r="13">
      <c r="A13" s="287"/>
      <c r="B13" s="331"/>
      <c r="C13" s="329" t="s">
        <v>598</v>
      </c>
      <c r="D13" s="332" t="b">
        <v>1</v>
      </c>
    </row>
    <row r="14">
      <c r="A14" s="287"/>
      <c r="B14" s="331"/>
      <c r="C14" s="329" t="s">
        <v>599</v>
      </c>
      <c r="D14" s="330" t="b">
        <v>1</v>
      </c>
    </row>
    <row r="15">
      <c r="A15" s="287"/>
      <c r="B15" s="331"/>
      <c r="C15" s="329" t="s">
        <v>600</v>
      </c>
      <c r="D15" s="330" t="b">
        <v>1</v>
      </c>
    </row>
    <row r="16">
      <c r="A16" s="287"/>
      <c r="B16" s="331"/>
      <c r="C16" s="331"/>
    </row>
    <row r="17">
      <c r="A17" s="327" t="s">
        <v>601</v>
      </c>
      <c r="B17" s="329" t="s">
        <v>602</v>
      </c>
      <c r="C17" s="329" t="s">
        <v>603</v>
      </c>
      <c r="D17" s="330" t="b">
        <v>1</v>
      </c>
    </row>
    <row r="18">
      <c r="A18" s="287"/>
      <c r="B18" s="331"/>
      <c r="C18" s="329" t="s">
        <v>604</v>
      </c>
      <c r="D18" s="330" t="b">
        <v>1</v>
      </c>
    </row>
    <row r="19">
      <c r="A19" s="287"/>
      <c r="B19" s="331"/>
      <c r="C19" s="329" t="s">
        <v>605</v>
      </c>
      <c r="D19" s="332" t="b">
        <v>1</v>
      </c>
    </row>
    <row r="20">
      <c r="A20" s="287"/>
      <c r="B20" s="331"/>
      <c r="C20" s="329" t="s">
        <v>606</v>
      </c>
      <c r="D20" s="330" t="b">
        <v>1</v>
      </c>
    </row>
    <row r="21">
      <c r="A21" s="287"/>
      <c r="B21" s="331"/>
      <c r="C21" s="329" t="s">
        <v>607</v>
      </c>
      <c r="D21" s="330" t="b">
        <v>1</v>
      </c>
    </row>
    <row r="22">
      <c r="A22" s="287"/>
      <c r="B22" s="331"/>
      <c r="C22" s="329" t="s">
        <v>608</v>
      </c>
    </row>
    <row r="23">
      <c r="A23" s="287"/>
      <c r="B23" s="331"/>
      <c r="C23" s="331"/>
    </row>
    <row r="24">
      <c r="A24" s="327" t="s">
        <v>609</v>
      </c>
      <c r="B24" s="329" t="s">
        <v>610</v>
      </c>
      <c r="C24" s="329" t="s">
        <v>611</v>
      </c>
      <c r="D24" s="330" t="b">
        <v>1</v>
      </c>
    </row>
    <row r="25">
      <c r="B25" s="333"/>
      <c r="C25" s="329" t="s">
        <v>612</v>
      </c>
    </row>
    <row r="26">
      <c r="B26" s="333"/>
      <c r="C26" s="333"/>
    </row>
    <row r="27">
      <c r="B27" s="333"/>
      <c r="C27" s="333"/>
    </row>
    <row r="28">
      <c r="B28" s="333"/>
      <c r="C28" s="333"/>
    </row>
    <row r="29">
      <c r="B29" s="333"/>
      <c r="C29" s="333"/>
    </row>
    <row r="30">
      <c r="A30" s="325" t="s">
        <v>494</v>
      </c>
      <c r="B30" s="326"/>
      <c r="C30" s="326"/>
    </row>
    <row r="31">
      <c r="A31" s="310" t="s">
        <v>613</v>
      </c>
      <c r="B31" s="329"/>
      <c r="C31" s="329"/>
      <c r="D31" s="310"/>
    </row>
    <row r="32">
      <c r="A32" s="334" t="s">
        <v>614</v>
      </c>
      <c r="B32" s="335" t="s">
        <v>615</v>
      </c>
      <c r="C32" s="331"/>
      <c r="D32" s="330" t="b">
        <v>0</v>
      </c>
    </row>
    <row r="33">
      <c r="A33" s="310" t="s">
        <v>616</v>
      </c>
      <c r="B33" s="336" t="s">
        <v>617</v>
      </c>
      <c r="C33" s="331"/>
      <c r="D33" s="330" t="b">
        <v>0</v>
      </c>
    </row>
    <row r="34">
      <c r="A34" s="310" t="s">
        <v>618</v>
      </c>
      <c r="B34" s="336" t="s">
        <v>619</v>
      </c>
      <c r="C34" s="331"/>
      <c r="D34" s="330" t="b">
        <v>0</v>
      </c>
    </row>
    <row r="35">
      <c r="A35" s="310" t="s">
        <v>620</v>
      </c>
      <c r="B35" s="336" t="s">
        <v>621</v>
      </c>
      <c r="C35" s="329" t="s">
        <v>622</v>
      </c>
      <c r="D35" s="330" t="b">
        <v>0</v>
      </c>
    </row>
    <row r="36">
      <c r="A36" s="337" t="s">
        <v>623</v>
      </c>
      <c r="B36" s="338" t="s">
        <v>624</v>
      </c>
      <c r="C36" s="331"/>
      <c r="D36" s="330" t="b">
        <v>0</v>
      </c>
    </row>
    <row r="37">
      <c r="A37" s="310" t="s">
        <v>625</v>
      </c>
      <c r="B37" s="336" t="s">
        <v>621</v>
      </c>
      <c r="C37" s="331"/>
      <c r="D37" s="330" t="b">
        <v>0</v>
      </c>
    </row>
    <row r="38">
      <c r="A38" s="310" t="s">
        <v>626</v>
      </c>
      <c r="B38" s="336" t="s">
        <v>621</v>
      </c>
      <c r="C38" s="331"/>
      <c r="D38" s="330" t="b">
        <v>0</v>
      </c>
    </row>
    <row r="39">
      <c r="A39" s="337" t="s">
        <v>627</v>
      </c>
      <c r="B39" s="339" t="s">
        <v>628</v>
      </c>
      <c r="C39" s="331"/>
      <c r="D39" s="330" t="b">
        <v>0</v>
      </c>
    </row>
    <row r="40">
      <c r="A40" s="337" t="s">
        <v>629</v>
      </c>
      <c r="B40" s="339" t="s">
        <v>628</v>
      </c>
      <c r="C40" s="331"/>
      <c r="D40" s="330" t="b">
        <v>0</v>
      </c>
    </row>
    <row r="41">
      <c r="A41" s="337" t="s">
        <v>630</v>
      </c>
      <c r="B41" s="339" t="s">
        <v>628</v>
      </c>
      <c r="C41" s="331"/>
      <c r="D41" s="330" t="b">
        <v>0</v>
      </c>
    </row>
    <row r="42">
      <c r="A42" s="337" t="s">
        <v>631</v>
      </c>
      <c r="B42" s="339" t="s">
        <v>628</v>
      </c>
      <c r="C42" s="331"/>
      <c r="D42" s="330" t="b">
        <v>0</v>
      </c>
    </row>
    <row r="43">
      <c r="A43" s="337" t="s">
        <v>632</v>
      </c>
      <c r="B43" s="339" t="s">
        <v>628</v>
      </c>
      <c r="C43" s="331"/>
      <c r="D43" s="330" t="b">
        <v>0</v>
      </c>
    </row>
    <row r="44">
      <c r="A44" s="337" t="s">
        <v>633</v>
      </c>
      <c r="B44" s="339" t="s">
        <v>628</v>
      </c>
      <c r="C44" s="331"/>
      <c r="D44" s="330" t="b">
        <v>0</v>
      </c>
    </row>
    <row r="45">
      <c r="A45" s="337" t="s">
        <v>634</v>
      </c>
      <c r="B45" s="339" t="s">
        <v>628</v>
      </c>
      <c r="C45" s="331"/>
      <c r="D45" s="330" t="b">
        <v>0</v>
      </c>
    </row>
    <row r="46">
      <c r="A46" s="337" t="s">
        <v>635</v>
      </c>
      <c r="B46" s="339" t="s">
        <v>636</v>
      </c>
      <c r="C46" s="331"/>
      <c r="D46" s="330" t="b">
        <v>0</v>
      </c>
    </row>
    <row r="47">
      <c r="A47" s="340" t="s">
        <v>637</v>
      </c>
      <c r="B47" s="339" t="s">
        <v>638</v>
      </c>
      <c r="C47" s="331"/>
      <c r="D47" s="330" t="b">
        <v>0</v>
      </c>
    </row>
    <row r="48">
      <c r="A48" s="337" t="s">
        <v>639</v>
      </c>
      <c r="B48" s="338" t="s">
        <v>640</v>
      </c>
      <c r="C48" s="331"/>
      <c r="D48" s="332" t="b">
        <v>1</v>
      </c>
    </row>
    <row r="49">
      <c r="A49" s="337" t="s">
        <v>641</v>
      </c>
      <c r="B49" s="339" t="s">
        <v>642</v>
      </c>
      <c r="C49" s="331"/>
      <c r="D49" s="330" t="b">
        <v>0</v>
      </c>
    </row>
    <row r="50">
      <c r="A50" s="337" t="s">
        <v>643</v>
      </c>
      <c r="B50" s="338" t="s">
        <v>644</v>
      </c>
      <c r="C50" s="331"/>
      <c r="D50" s="332" t="b">
        <v>1</v>
      </c>
    </row>
    <row r="51">
      <c r="A51" s="337" t="s">
        <v>645</v>
      </c>
      <c r="B51" s="336" t="s">
        <v>621</v>
      </c>
      <c r="C51" s="331"/>
      <c r="D51" s="330" t="b">
        <v>0</v>
      </c>
    </row>
    <row r="52">
      <c r="A52" s="337" t="s">
        <v>646</v>
      </c>
      <c r="B52" s="336" t="s">
        <v>621</v>
      </c>
      <c r="C52" s="331"/>
      <c r="D52" s="330" t="b">
        <v>0</v>
      </c>
    </row>
    <row r="53">
      <c r="A53" s="337" t="s">
        <v>647</v>
      </c>
      <c r="B53" s="336" t="s">
        <v>648</v>
      </c>
      <c r="C53" s="331"/>
      <c r="D53" s="330" t="b">
        <v>0</v>
      </c>
    </row>
    <row r="54">
      <c r="A54" s="337" t="s">
        <v>649</v>
      </c>
      <c r="B54" s="336" t="s">
        <v>650</v>
      </c>
      <c r="C54" s="331"/>
      <c r="D54" s="330" t="b">
        <v>0</v>
      </c>
    </row>
    <row r="55">
      <c r="B55" s="333"/>
      <c r="C55" s="333"/>
    </row>
    <row r="56">
      <c r="B56" s="333"/>
      <c r="C56" s="333"/>
    </row>
    <row r="57">
      <c r="A57" s="341" t="s">
        <v>651</v>
      </c>
    </row>
    <row r="58">
      <c r="A58" s="342" t="s">
        <v>614</v>
      </c>
      <c r="B58" s="342" t="s">
        <v>615</v>
      </c>
      <c r="C58" s="343"/>
      <c r="D58" s="343"/>
    </row>
    <row r="59">
      <c r="A59" s="344" t="s">
        <v>616</v>
      </c>
      <c r="B59" s="344" t="s">
        <v>617</v>
      </c>
      <c r="C59" s="343"/>
      <c r="D59" s="343"/>
    </row>
    <row r="60">
      <c r="A60" s="344" t="s">
        <v>618</v>
      </c>
      <c r="B60" s="345" t="s">
        <v>652</v>
      </c>
      <c r="C60" s="343"/>
      <c r="D60" s="343"/>
    </row>
    <row r="61">
      <c r="A61" s="344" t="s">
        <v>620</v>
      </c>
      <c r="B61" s="345" t="s">
        <v>653</v>
      </c>
      <c r="C61" s="343"/>
      <c r="D61" s="343"/>
    </row>
    <row r="62">
      <c r="A62" s="346" t="s">
        <v>623</v>
      </c>
      <c r="B62" s="347" t="s">
        <v>654</v>
      </c>
      <c r="C62" s="343"/>
      <c r="D62" s="343"/>
    </row>
    <row r="63">
      <c r="A63" s="346" t="s">
        <v>655</v>
      </c>
      <c r="B63" s="347" t="s">
        <v>656</v>
      </c>
      <c r="C63" s="343"/>
      <c r="D63" s="343"/>
    </row>
    <row r="64">
      <c r="A64" s="344" t="s">
        <v>625</v>
      </c>
      <c r="B64" s="344" t="s">
        <v>657</v>
      </c>
      <c r="C64" s="343"/>
      <c r="D64" s="343"/>
    </row>
    <row r="65">
      <c r="A65" s="344" t="s">
        <v>658</v>
      </c>
      <c r="B65" s="344" t="s">
        <v>659</v>
      </c>
      <c r="C65" s="343"/>
      <c r="D65" s="343"/>
    </row>
    <row r="66">
      <c r="A66" s="346" t="s">
        <v>627</v>
      </c>
      <c r="B66" s="347" t="s">
        <v>660</v>
      </c>
      <c r="C66" s="343"/>
      <c r="D66" s="343"/>
    </row>
    <row r="67">
      <c r="A67" s="346" t="s">
        <v>629</v>
      </c>
      <c r="B67" s="347" t="s">
        <v>660</v>
      </c>
      <c r="C67" s="343"/>
      <c r="D67" s="343"/>
    </row>
    <row r="68">
      <c r="A68" s="346" t="s">
        <v>630</v>
      </c>
      <c r="B68" s="347" t="s">
        <v>660</v>
      </c>
      <c r="C68" s="343"/>
      <c r="D68" s="343"/>
    </row>
    <row r="69">
      <c r="A69" s="346" t="s">
        <v>631</v>
      </c>
      <c r="B69" s="347" t="s">
        <v>660</v>
      </c>
      <c r="C69" s="343"/>
      <c r="D69" s="343"/>
    </row>
    <row r="70">
      <c r="A70" s="346" t="s">
        <v>632</v>
      </c>
      <c r="B70" s="347" t="s">
        <v>660</v>
      </c>
      <c r="C70" s="343"/>
      <c r="D70" s="343"/>
    </row>
    <row r="71">
      <c r="A71" s="346" t="s">
        <v>633</v>
      </c>
      <c r="B71" s="347" t="s">
        <v>660</v>
      </c>
      <c r="C71" s="343"/>
      <c r="D71" s="343"/>
    </row>
    <row r="72">
      <c r="A72" s="346" t="s">
        <v>634</v>
      </c>
      <c r="B72" s="347" t="s">
        <v>660</v>
      </c>
      <c r="C72" s="343"/>
      <c r="D72" s="343"/>
    </row>
    <row r="73">
      <c r="A73" s="346" t="s">
        <v>635</v>
      </c>
      <c r="B73" s="347" t="s">
        <v>636</v>
      </c>
      <c r="C73" s="343"/>
      <c r="D73" s="343"/>
    </row>
    <row r="74">
      <c r="A74" s="346" t="s">
        <v>637</v>
      </c>
      <c r="B74" s="347" t="s">
        <v>661</v>
      </c>
      <c r="C74" s="343"/>
      <c r="D74" s="343"/>
    </row>
    <row r="75">
      <c r="A75" s="346" t="s">
        <v>639</v>
      </c>
      <c r="B75" s="347" t="s">
        <v>662</v>
      </c>
      <c r="C75" s="343"/>
      <c r="D75" s="343"/>
    </row>
    <row r="76">
      <c r="A76" s="346" t="s">
        <v>641</v>
      </c>
      <c r="B76" s="347" t="s">
        <v>663</v>
      </c>
      <c r="C76" s="343"/>
      <c r="D76" s="343"/>
    </row>
    <row r="77">
      <c r="A77" s="346" t="s">
        <v>643</v>
      </c>
      <c r="B77" s="347" t="s">
        <v>664</v>
      </c>
      <c r="C77" s="343"/>
      <c r="D77" s="343"/>
    </row>
    <row r="78">
      <c r="A78" s="346" t="s">
        <v>645</v>
      </c>
      <c r="B78" s="344" t="s">
        <v>665</v>
      </c>
      <c r="C78" s="343"/>
      <c r="D78" s="343"/>
    </row>
    <row r="79">
      <c r="A79" s="346" t="s">
        <v>646</v>
      </c>
      <c r="B79" s="344" t="s">
        <v>665</v>
      </c>
      <c r="C79" s="343"/>
      <c r="D79" s="343"/>
    </row>
    <row r="80">
      <c r="A80" s="346" t="s">
        <v>647</v>
      </c>
      <c r="B80" s="344" t="s">
        <v>666</v>
      </c>
      <c r="C80" s="343"/>
      <c r="D80" s="343"/>
    </row>
    <row r="81">
      <c r="A81" s="346" t="s">
        <v>649</v>
      </c>
      <c r="B81" s="344" t="s">
        <v>667</v>
      </c>
      <c r="C81" s="343"/>
      <c r="D81" s="343"/>
    </row>
    <row r="82">
      <c r="A82" s="346" t="s">
        <v>668</v>
      </c>
      <c r="B82" s="344" t="s">
        <v>669</v>
      </c>
      <c r="C82" s="343"/>
      <c r="D82" s="343"/>
    </row>
    <row r="83">
      <c r="A83" s="346" t="s">
        <v>670</v>
      </c>
      <c r="B83" s="347" t="s">
        <v>671</v>
      </c>
      <c r="C83" s="343"/>
      <c r="D83" s="343"/>
    </row>
    <row r="84">
      <c r="A84" s="343"/>
      <c r="B84" s="343"/>
      <c r="C84" s="343"/>
      <c r="D84" s="343"/>
    </row>
    <row r="85">
      <c r="A85" s="343"/>
      <c r="B85" s="343"/>
      <c r="C85" s="343"/>
      <c r="D85" s="343"/>
    </row>
    <row r="86">
      <c r="A86" s="341" t="s">
        <v>672</v>
      </c>
    </row>
    <row r="87">
      <c r="A87" s="344" t="s">
        <v>673</v>
      </c>
      <c r="B87" s="344" t="s">
        <v>674</v>
      </c>
      <c r="C87" s="343"/>
      <c r="D87" s="343"/>
    </row>
    <row r="88">
      <c r="A88" s="343"/>
      <c r="B88" s="344" t="s">
        <v>675</v>
      </c>
      <c r="C88" s="343"/>
      <c r="D88" s="343"/>
    </row>
    <row r="89">
      <c r="A89" s="343"/>
      <c r="B89" s="344" t="s">
        <v>676</v>
      </c>
      <c r="C89" s="343"/>
      <c r="D89" s="343"/>
    </row>
    <row r="90">
      <c r="A90" s="343"/>
      <c r="B90" s="344" t="s">
        <v>677</v>
      </c>
      <c r="C90" s="343"/>
      <c r="D90" s="343"/>
    </row>
    <row r="91">
      <c r="A91" s="343"/>
      <c r="B91" s="344" t="s">
        <v>678</v>
      </c>
      <c r="C91" s="343"/>
      <c r="D91" s="343"/>
    </row>
    <row r="92">
      <c r="A92" s="343"/>
      <c r="B92" s="343"/>
      <c r="C92" s="343"/>
      <c r="D92" s="343"/>
    </row>
    <row r="93">
      <c r="A93" s="344" t="s">
        <v>655</v>
      </c>
      <c r="B93" s="344" t="s">
        <v>679</v>
      </c>
      <c r="C93" s="343"/>
      <c r="D93" s="343"/>
    </row>
    <row r="94">
      <c r="A94" s="343"/>
      <c r="B94" s="344" t="s">
        <v>680</v>
      </c>
      <c r="C94" s="343"/>
      <c r="D94" s="343"/>
    </row>
    <row r="95">
      <c r="A95" s="343"/>
      <c r="B95" s="344" t="s">
        <v>681</v>
      </c>
      <c r="C95" s="343"/>
      <c r="D95" s="343"/>
    </row>
    <row r="96">
      <c r="A96" s="343"/>
      <c r="B96" s="343"/>
      <c r="C96" s="343"/>
      <c r="D96" s="343"/>
    </row>
    <row r="97">
      <c r="A97" s="344" t="s">
        <v>682</v>
      </c>
      <c r="B97" s="344" t="s">
        <v>674</v>
      </c>
      <c r="C97" s="343"/>
      <c r="D97" s="343"/>
    </row>
    <row r="98">
      <c r="A98" s="343"/>
      <c r="B98" s="344" t="s">
        <v>683</v>
      </c>
      <c r="C98" s="343"/>
      <c r="D98" s="343"/>
    </row>
    <row r="99">
      <c r="A99" s="343"/>
      <c r="B99" s="343"/>
      <c r="C99" s="343"/>
      <c r="D99" s="343"/>
    </row>
    <row r="100">
      <c r="A100" s="344" t="s">
        <v>623</v>
      </c>
      <c r="B100" s="344" t="s">
        <v>684</v>
      </c>
      <c r="C100" s="343"/>
      <c r="D100" s="343"/>
    </row>
    <row r="101">
      <c r="A101" s="343"/>
      <c r="B101" s="344" t="s">
        <v>685</v>
      </c>
      <c r="C101" s="343"/>
      <c r="D101" s="343"/>
    </row>
    <row r="102">
      <c r="A102" s="343"/>
      <c r="B102" s="344" t="s">
        <v>679</v>
      </c>
      <c r="C102" s="343"/>
      <c r="D102" s="343"/>
    </row>
    <row r="103">
      <c r="A103" s="343"/>
      <c r="B103" s="344" t="s">
        <v>686</v>
      </c>
      <c r="C103" s="343"/>
      <c r="D103" s="343"/>
    </row>
    <row r="104">
      <c r="A104" s="343"/>
      <c r="B104" s="343"/>
      <c r="C104" s="343"/>
      <c r="D104" s="343"/>
    </row>
    <row r="105">
      <c r="A105" s="344" t="s">
        <v>687</v>
      </c>
      <c r="B105" s="344" t="s">
        <v>679</v>
      </c>
      <c r="C105" s="343"/>
      <c r="D105" s="343"/>
    </row>
    <row r="106">
      <c r="A106" s="343"/>
      <c r="B106" s="344" t="s">
        <v>688</v>
      </c>
      <c r="C106" s="343"/>
      <c r="D106" s="343"/>
    </row>
    <row r="107">
      <c r="A107" s="343"/>
      <c r="B107" s="344" t="s">
        <v>689</v>
      </c>
      <c r="C107" s="343"/>
      <c r="D107" s="343"/>
    </row>
    <row r="108">
      <c r="A108" s="343"/>
      <c r="B108" s="343"/>
      <c r="C108" s="343"/>
      <c r="D108" s="343"/>
    </row>
    <row r="109">
      <c r="A109" s="344" t="s">
        <v>690</v>
      </c>
      <c r="B109" s="344" t="s">
        <v>691</v>
      </c>
      <c r="C109" s="343"/>
      <c r="D109" s="343"/>
    </row>
    <row r="110">
      <c r="A110" s="343"/>
      <c r="B110" s="344" t="s">
        <v>688</v>
      </c>
      <c r="C110" s="343"/>
      <c r="D110" s="343"/>
    </row>
    <row r="111">
      <c r="A111" s="343"/>
      <c r="B111" s="344" t="s">
        <v>692</v>
      </c>
      <c r="C111" s="343"/>
      <c r="D111" s="343"/>
    </row>
    <row r="112">
      <c r="A112" s="343"/>
      <c r="B112" s="344" t="s">
        <v>693</v>
      </c>
      <c r="C112" s="343"/>
      <c r="D112" s="343"/>
    </row>
    <row r="113">
      <c r="A113" s="343"/>
      <c r="B113" s="343"/>
      <c r="C113" s="343"/>
      <c r="D113" s="343"/>
    </row>
    <row r="114">
      <c r="A114" s="344" t="s">
        <v>694</v>
      </c>
      <c r="B114" s="344" t="s">
        <v>695</v>
      </c>
      <c r="C114" s="343"/>
      <c r="D114" s="343"/>
    </row>
    <row r="115">
      <c r="A115" s="343"/>
      <c r="B115" s="344" t="s">
        <v>688</v>
      </c>
      <c r="C115" s="343"/>
      <c r="D115" s="343"/>
    </row>
    <row r="116">
      <c r="A116" s="343"/>
      <c r="B116" s="344" t="s">
        <v>693</v>
      </c>
      <c r="C116" s="343"/>
      <c r="D116" s="343"/>
    </row>
    <row r="117">
      <c r="A117" s="343"/>
      <c r="B117" s="343"/>
      <c r="C117" s="343"/>
      <c r="D117" s="343"/>
    </row>
    <row r="118">
      <c r="A118" s="344" t="s">
        <v>696</v>
      </c>
      <c r="B118" s="344" t="s">
        <v>697</v>
      </c>
      <c r="C118" s="343"/>
      <c r="D118" s="343"/>
    </row>
    <row r="119">
      <c r="A119" s="343"/>
      <c r="B119" s="344" t="s">
        <v>688</v>
      </c>
      <c r="C119" s="343"/>
      <c r="D119" s="343"/>
    </row>
    <row r="120">
      <c r="A120" s="343"/>
      <c r="B120" s="344" t="s">
        <v>693</v>
      </c>
      <c r="C120" s="343"/>
      <c r="D120" s="343"/>
    </row>
    <row r="121">
      <c r="A121" s="343"/>
      <c r="B121" s="343"/>
      <c r="C121" s="343"/>
      <c r="D121" s="343"/>
    </row>
    <row r="122">
      <c r="A122" s="344" t="s">
        <v>698</v>
      </c>
      <c r="B122" s="344" t="s">
        <v>699</v>
      </c>
      <c r="C122" s="343"/>
      <c r="D122" s="343"/>
    </row>
    <row r="123">
      <c r="A123" s="343"/>
      <c r="B123" s="344" t="s">
        <v>700</v>
      </c>
      <c r="C123" s="343"/>
      <c r="D123" s="343"/>
    </row>
    <row r="124">
      <c r="A124" s="343"/>
      <c r="B124" s="343"/>
      <c r="C124" s="343"/>
      <c r="D124" s="343"/>
    </row>
    <row r="125">
      <c r="A125" s="343"/>
      <c r="B125" s="343"/>
      <c r="C125" s="343"/>
      <c r="D125" s="343"/>
    </row>
    <row r="126">
      <c r="A126" s="341" t="s">
        <v>701</v>
      </c>
    </row>
    <row r="127">
      <c r="A127" s="344" t="s">
        <v>702</v>
      </c>
      <c r="B127" s="344" t="s">
        <v>703</v>
      </c>
      <c r="C127" s="343"/>
      <c r="D127" s="343"/>
    </row>
    <row r="128">
      <c r="A128" s="343"/>
      <c r="B128" s="344" t="s">
        <v>704</v>
      </c>
      <c r="C128" s="343"/>
      <c r="D128" s="343"/>
    </row>
    <row r="129">
      <c r="A129" s="343"/>
      <c r="B129" s="344" t="s">
        <v>705</v>
      </c>
      <c r="C129" s="343"/>
      <c r="D129" s="343"/>
    </row>
    <row r="130">
      <c r="A130" s="343"/>
      <c r="B130" s="344" t="s">
        <v>706</v>
      </c>
      <c r="C130" s="343"/>
      <c r="D130" s="343"/>
    </row>
    <row r="131">
      <c r="A131" s="343"/>
      <c r="B131" s="344" t="s">
        <v>707</v>
      </c>
      <c r="C131" s="343"/>
      <c r="D131" s="343"/>
    </row>
    <row r="132">
      <c r="A132" s="343"/>
      <c r="B132" s="343"/>
      <c r="C132" s="343"/>
      <c r="D132" s="343"/>
    </row>
    <row r="133">
      <c r="A133" s="344" t="s">
        <v>655</v>
      </c>
      <c r="B133" s="344" t="s">
        <v>679</v>
      </c>
      <c r="C133" s="343"/>
      <c r="D133" s="343"/>
    </row>
    <row r="134">
      <c r="A134" s="343"/>
      <c r="B134" s="344" t="s">
        <v>680</v>
      </c>
      <c r="C134" s="343"/>
      <c r="D134" s="343"/>
    </row>
    <row r="135">
      <c r="A135" s="343"/>
      <c r="B135" s="344" t="s">
        <v>681</v>
      </c>
      <c r="C135" s="343"/>
      <c r="D135" s="343"/>
    </row>
    <row r="136">
      <c r="A136" s="343"/>
      <c r="B136" s="343"/>
      <c r="C136" s="343"/>
      <c r="D136" s="343"/>
    </row>
    <row r="137">
      <c r="A137" s="344" t="s">
        <v>623</v>
      </c>
      <c r="B137" s="344" t="s">
        <v>708</v>
      </c>
      <c r="C137" s="343"/>
      <c r="D137" s="343"/>
    </row>
    <row r="138">
      <c r="A138" s="343"/>
      <c r="B138" s="344" t="s">
        <v>709</v>
      </c>
      <c r="C138" s="343"/>
      <c r="D138" s="343"/>
    </row>
    <row r="139">
      <c r="A139" s="343"/>
      <c r="B139" s="344" t="s">
        <v>679</v>
      </c>
      <c r="C139" s="343"/>
      <c r="D139" s="343"/>
    </row>
    <row r="140">
      <c r="A140" s="343"/>
      <c r="B140" s="343"/>
      <c r="C140" s="343"/>
      <c r="D140" s="343"/>
    </row>
    <row r="141">
      <c r="A141" s="344" t="s">
        <v>687</v>
      </c>
      <c r="B141" s="344" t="s">
        <v>679</v>
      </c>
      <c r="C141" s="343"/>
      <c r="D141" s="343"/>
    </row>
    <row r="142">
      <c r="A142" s="343"/>
      <c r="B142" s="344" t="s">
        <v>688</v>
      </c>
      <c r="C142" s="343"/>
      <c r="D142" s="343"/>
    </row>
    <row r="143">
      <c r="A143" s="343"/>
      <c r="B143" s="344" t="s">
        <v>689</v>
      </c>
      <c r="C143" s="343"/>
      <c r="D143" s="343"/>
    </row>
    <row r="144">
      <c r="A144" s="343"/>
      <c r="B144" s="343"/>
      <c r="C144" s="343"/>
      <c r="D144" s="343"/>
    </row>
    <row r="145">
      <c r="A145" s="346" t="s">
        <v>635</v>
      </c>
      <c r="B145" s="347" t="s">
        <v>710</v>
      </c>
      <c r="C145" s="343"/>
      <c r="D145" s="343"/>
    </row>
    <row r="146">
      <c r="A146" s="346" t="s">
        <v>637</v>
      </c>
      <c r="B146" s="347" t="s">
        <v>711</v>
      </c>
      <c r="C146" s="343"/>
      <c r="D146" s="343"/>
    </row>
    <row r="147">
      <c r="A147" s="343"/>
      <c r="B147" s="343"/>
      <c r="C147" s="343"/>
      <c r="D147" s="343"/>
    </row>
    <row r="148">
      <c r="A148" s="344" t="s">
        <v>712</v>
      </c>
      <c r="B148" s="344" t="s">
        <v>713</v>
      </c>
      <c r="C148" s="343"/>
      <c r="D148" s="343"/>
    </row>
    <row r="149">
      <c r="A149" s="343"/>
      <c r="B149" s="344" t="s">
        <v>688</v>
      </c>
      <c r="C149" s="343"/>
      <c r="D149" s="343"/>
    </row>
    <row r="150">
      <c r="A150" s="343"/>
      <c r="B150" s="344" t="s">
        <v>692</v>
      </c>
      <c r="C150" s="343"/>
      <c r="D150" s="343"/>
    </row>
    <row r="151">
      <c r="A151" s="343"/>
      <c r="B151" s="343"/>
      <c r="C151" s="343"/>
      <c r="D151" s="343"/>
    </row>
    <row r="152">
      <c r="A152" s="344" t="s">
        <v>714</v>
      </c>
      <c r="B152" s="344" t="s">
        <v>713</v>
      </c>
      <c r="C152" s="343"/>
      <c r="D152" s="343"/>
    </row>
    <row r="153">
      <c r="A153" s="343"/>
      <c r="B153" s="344" t="s">
        <v>688</v>
      </c>
      <c r="C153" s="343"/>
      <c r="D153" s="343"/>
    </row>
    <row r="154">
      <c r="A154" s="343"/>
      <c r="B154" s="343"/>
      <c r="C154" s="343"/>
      <c r="D154" s="343"/>
    </row>
    <row r="155">
      <c r="A155" s="344" t="s">
        <v>715</v>
      </c>
      <c r="B155" s="344" t="s">
        <v>713</v>
      </c>
      <c r="C155" s="343"/>
      <c r="D155" s="343"/>
    </row>
    <row r="156">
      <c r="A156" s="343"/>
      <c r="B156" s="344" t="s">
        <v>688</v>
      </c>
      <c r="C156" s="343"/>
      <c r="D156" s="343"/>
    </row>
    <row r="157">
      <c r="B157" s="333"/>
      <c r="C157" s="333"/>
    </row>
    <row r="158">
      <c r="B158" s="333"/>
      <c r="C158" s="333"/>
    </row>
    <row r="159">
      <c r="B159" s="333"/>
      <c r="C159" s="333"/>
    </row>
    <row r="160">
      <c r="B160" s="333"/>
      <c r="C160" s="333"/>
    </row>
    <row r="161">
      <c r="B161" s="333"/>
      <c r="C161" s="333"/>
    </row>
    <row r="162">
      <c r="B162" s="333"/>
      <c r="C162" s="333"/>
    </row>
    <row r="163">
      <c r="B163" s="333"/>
      <c r="C163" s="333"/>
    </row>
    <row r="164">
      <c r="B164" s="333"/>
      <c r="C164" s="333"/>
    </row>
    <row r="165">
      <c r="B165" s="333"/>
      <c r="C165" s="333"/>
    </row>
    <row r="166">
      <c r="B166" s="333"/>
      <c r="C166" s="333"/>
    </row>
    <row r="167">
      <c r="B167" s="333"/>
      <c r="C167" s="333"/>
    </row>
    <row r="168">
      <c r="B168" s="333"/>
      <c r="C168" s="333"/>
    </row>
    <row r="169">
      <c r="B169" s="333"/>
      <c r="C169" s="333"/>
    </row>
    <row r="170">
      <c r="B170" s="333"/>
      <c r="C170" s="333"/>
    </row>
    <row r="171">
      <c r="B171" s="333"/>
      <c r="C171" s="333"/>
    </row>
    <row r="172">
      <c r="B172" s="333"/>
      <c r="C172" s="333"/>
    </row>
    <row r="173">
      <c r="B173" s="333"/>
      <c r="C173" s="333"/>
    </row>
    <row r="174">
      <c r="B174" s="333"/>
      <c r="C174" s="333"/>
    </row>
    <row r="175">
      <c r="B175" s="333"/>
      <c r="C175" s="333"/>
    </row>
    <row r="176">
      <c r="B176" s="333"/>
      <c r="C176" s="333"/>
    </row>
    <row r="177">
      <c r="B177" s="333"/>
      <c r="C177" s="333"/>
    </row>
    <row r="178">
      <c r="B178" s="333"/>
      <c r="C178" s="333"/>
    </row>
    <row r="179">
      <c r="B179" s="333"/>
      <c r="C179" s="333"/>
    </row>
    <row r="180">
      <c r="B180" s="333"/>
      <c r="C180" s="333"/>
    </row>
    <row r="181">
      <c r="B181" s="333"/>
      <c r="C181" s="333"/>
    </row>
    <row r="182">
      <c r="B182" s="333"/>
      <c r="C182" s="333"/>
    </row>
    <row r="183">
      <c r="B183" s="333"/>
      <c r="C183" s="333"/>
    </row>
    <row r="184">
      <c r="B184" s="333"/>
      <c r="C184" s="333"/>
    </row>
    <row r="185">
      <c r="B185" s="333"/>
      <c r="C185" s="333"/>
    </row>
    <row r="186">
      <c r="B186" s="333"/>
      <c r="C186" s="333"/>
    </row>
    <row r="187">
      <c r="B187" s="333"/>
      <c r="C187" s="333"/>
    </row>
    <row r="188">
      <c r="B188" s="333"/>
      <c r="C188" s="333"/>
    </row>
    <row r="189">
      <c r="B189" s="333"/>
      <c r="C189" s="333"/>
    </row>
    <row r="190">
      <c r="B190" s="333"/>
      <c r="C190" s="333"/>
    </row>
    <row r="191">
      <c r="B191" s="333"/>
      <c r="C191" s="333"/>
    </row>
    <row r="192">
      <c r="B192" s="333"/>
      <c r="C192" s="333"/>
    </row>
    <row r="193">
      <c r="B193" s="333"/>
      <c r="C193" s="333"/>
    </row>
    <row r="194">
      <c r="B194" s="333"/>
      <c r="C194" s="333"/>
    </row>
    <row r="195">
      <c r="B195" s="333"/>
      <c r="C195" s="333"/>
    </row>
    <row r="196">
      <c r="B196" s="333"/>
      <c r="C196" s="333"/>
    </row>
    <row r="197">
      <c r="B197" s="333"/>
      <c r="C197" s="333"/>
    </row>
    <row r="198">
      <c r="B198" s="333"/>
      <c r="C198" s="333"/>
    </row>
    <row r="199">
      <c r="B199" s="333"/>
      <c r="C199" s="333"/>
    </row>
    <row r="200">
      <c r="B200" s="333"/>
      <c r="C200" s="333"/>
    </row>
    <row r="201">
      <c r="B201" s="333"/>
      <c r="C201" s="333"/>
    </row>
    <row r="202">
      <c r="B202" s="333"/>
      <c r="C202" s="333"/>
    </row>
    <row r="203">
      <c r="B203" s="333"/>
      <c r="C203" s="333"/>
    </row>
    <row r="204">
      <c r="B204" s="333"/>
      <c r="C204" s="333"/>
    </row>
    <row r="205">
      <c r="B205" s="333"/>
      <c r="C205" s="333"/>
    </row>
    <row r="206">
      <c r="B206" s="333"/>
      <c r="C206" s="333"/>
    </row>
    <row r="207">
      <c r="B207" s="333"/>
      <c r="C207" s="333"/>
    </row>
    <row r="208">
      <c r="B208" s="333"/>
      <c r="C208" s="333"/>
    </row>
    <row r="209">
      <c r="B209" s="333"/>
      <c r="C209" s="333"/>
    </row>
    <row r="210">
      <c r="B210" s="333"/>
      <c r="C210" s="333"/>
    </row>
    <row r="211">
      <c r="B211" s="333"/>
      <c r="C211" s="333"/>
    </row>
    <row r="212">
      <c r="B212" s="333"/>
      <c r="C212" s="333"/>
    </row>
    <row r="213">
      <c r="B213" s="333"/>
      <c r="C213" s="333"/>
    </row>
    <row r="214">
      <c r="B214" s="333"/>
      <c r="C214" s="333"/>
    </row>
    <row r="215">
      <c r="B215" s="333"/>
      <c r="C215" s="333"/>
    </row>
    <row r="216">
      <c r="B216" s="333"/>
      <c r="C216" s="333"/>
    </row>
    <row r="217">
      <c r="B217" s="333"/>
      <c r="C217" s="333"/>
    </row>
    <row r="218">
      <c r="B218" s="333"/>
      <c r="C218" s="333"/>
    </row>
    <row r="219">
      <c r="B219" s="333"/>
      <c r="C219" s="333"/>
    </row>
    <row r="220">
      <c r="B220" s="333"/>
      <c r="C220" s="333"/>
    </row>
    <row r="221">
      <c r="B221" s="333"/>
      <c r="C221" s="333"/>
    </row>
    <row r="222">
      <c r="B222" s="333"/>
      <c r="C222" s="333"/>
    </row>
    <row r="223">
      <c r="B223" s="333"/>
      <c r="C223" s="333"/>
    </row>
    <row r="224">
      <c r="B224" s="333"/>
      <c r="C224" s="333"/>
    </row>
    <row r="225">
      <c r="B225" s="333"/>
      <c r="C225" s="333"/>
    </row>
    <row r="226">
      <c r="B226" s="333"/>
      <c r="C226" s="333"/>
    </row>
    <row r="227">
      <c r="B227" s="333"/>
      <c r="C227" s="333"/>
    </row>
    <row r="228">
      <c r="B228" s="333"/>
      <c r="C228" s="333"/>
    </row>
    <row r="229">
      <c r="B229" s="333"/>
      <c r="C229" s="333"/>
    </row>
    <row r="230">
      <c r="B230" s="333"/>
      <c r="C230" s="333"/>
    </row>
    <row r="231">
      <c r="B231" s="333"/>
      <c r="C231" s="333"/>
    </row>
    <row r="232">
      <c r="B232" s="333"/>
      <c r="C232" s="333"/>
    </row>
    <row r="233">
      <c r="B233" s="333"/>
      <c r="C233" s="333"/>
    </row>
    <row r="234">
      <c r="B234" s="333"/>
      <c r="C234" s="333"/>
    </row>
    <row r="235">
      <c r="B235" s="333"/>
      <c r="C235" s="333"/>
    </row>
    <row r="236">
      <c r="B236" s="333"/>
      <c r="C236" s="333"/>
    </row>
    <row r="237">
      <c r="B237" s="333"/>
      <c r="C237" s="333"/>
    </row>
    <row r="238">
      <c r="B238" s="333"/>
      <c r="C238" s="333"/>
    </row>
    <row r="239">
      <c r="B239" s="333"/>
      <c r="C239" s="333"/>
    </row>
    <row r="240">
      <c r="B240" s="333"/>
      <c r="C240" s="333"/>
    </row>
    <row r="241">
      <c r="B241" s="333"/>
      <c r="C241" s="333"/>
    </row>
    <row r="242">
      <c r="B242" s="333"/>
      <c r="C242" s="333"/>
    </row>
    <row r="243">
      <c r="B243" s="333"/>
      <c r="C243" s="333"/>
    </row>
    <row r="244">
      <c r="B244" s="333"/>
      <c r="C244" s="333"/>
    </row>
    <row r="245">
      <c r="B245" s="333"/>
      <c r="C245" s="333"/>
    </row>
    <row r="246">
      <c r="B246" s="333"/>
      <c r="C246" s="333"/>
    </row>
    <row r="247">
      <c r="B247" s="333"/>
      <c r="C247" s="333"/>
    </row>
    <row r="248">
      <c r="B248" s="333"/>
      <c r="C248" s="333"/>
    </row>
    <row r="249">
      <c r="B249" s="333"/>
      <c r="C249" s="333"/>
    </row>
    <row r="250">
      <c r="B250" s="333"/>
      <c r="C250" s="333"/>
    </row>
    <row r="251">
      <c r="B251" s="333"/>
      <c r="C251" s="333"/>
    </row>
    <row r="252">
      <c r="B252" s="333"/>
      <c r="C252" s="333"/>
    </row>
    <row r="253">
      <c r="B253" s="333"/>
      <c r="C253" s="333"/>
    </row>
    <row r="254">
      <c r="B254" s="333"/>
      <c r="C254" s="333"/>
    </row>
    <row r="255">
      <c r="B255" s="333"/>
      <c r="C255" s="333"/>
    </row>
    <row r="256">
      <c r="B256" s="333"/>
      <c r="C256" s="333"/>
    </row>
    <row r="257">
      <c r="B257" s="333"/>
      <c r="C257" s="333"/>
    </row>
    <row r="258">
      <c r="B258" s="333"/>
      <c r="C258" s="333"/>
    </row>
    <row r="259">
      <c r="B259" s="333"/>
      <c r="C259" s="333"/>
    </row>
    <row r="260">
      <c r="B260" s="333"/>
      <c r="C260" s="333"/>
    </row>
    <row r="261">
      <c r="B261" s="333"/>
      <c r="C261" s="333"/>
    </row>
    <row r="262">
      <c r="B262" s="333"/>
      <c r="C262" s="333"/>
    </row>
    <row r="263">
      <c r="B263" s="333"/>
      <c r="C263" s="333"/>
    </row>
    <row r="264">
      <c r="B264" s="333"/>
      <c r="C264" s="333"/>
    </row>
    <row r="265">
      <c r="B265" s="333"/>
      <c r="C265" s="333"/>
    </row>
    <row r="266">
      <c r="B266" s="333"/>
      <c r="C266" s="333"/>
    </row>
    <row r="267">
      <c r="B267" s="333"/>
      <c r="C267" s="333"/>
    </row>
    <row r="268">
      <c r="B268" s="333"/>
      <c r="C268" s="333"/>
    </row>
    <row r="269">
      <c r="B269" s="333"/>
      <c r="C269" s="333"/>
    </row>
    <row r="270">
      <c r="B270" s="333"/>
      <c r="C270" s="333"/>
    </row>
    <row r="271">
      <c r="B271" s="333"/>
      <c r="C271" s="333"/>
    </row>
    <row r="272">
      <c r="B272" s="333"/>
      <c r="C272" s="333"/>
    </row>
    <row r="273">
      <c r="B273" s="333"/>
      <c r="C273" s="333"/>
    </row>
    <row r="274">
      <c r="B274" s="333"/>
      <c r="C274" s="333"/>
    </row>
    <row r="275">
      <c r="B275" s="333"/>
      <c r="C275" s="333"/>
    </row>
    <row r="276">
      <c r="B276" s="333"/>
      <c r="C276" s="333"/>
    </row>
    <row r="277">
      <c r="B277" s="333"/>
      <c r="C277" s="333"/>
    </row>
    <row r="278">
      <c r="B278" s="333"/>
      <c r="C278" s="333"/>
    </row>
    <row r="279">
      <c r="B279" s="333"/>
      <c r="C279" s="333"/>
    </row>
    <row r="280">
      <c r="B280" s="333"/>
      <c r="C280" s="333"/>
    </row>
    <row r="281">
      <c r="B281" s="333"/>
      <c r="C281" s="333"/>
    </row>
    <row r="282">
      <c r="B282" s="333"/>
      <c r="C282" s="333"/>
    </row>
    <row r="283">
      <c r="B283" s="333"/>
      <c r="C283" s="333"/>
    </row>
    <row r="284">
      <c r="B284" s="333"/>
      <c r="C284" s="333"/>
    </row>
    <row r="285">
      <c r="B285" s="333"/>
      <c r="C285" s="333"/>
    </row>
    <row r="286">
      <c r="B286" s="333"/>
      <c r="C286" s="333"/>
    </row>
    <row r="287">
      <c r="B287" s="333"/>
      <c r="C287" s="333"/>
    </row>
    <row r="288">
      <c r="B288" s="333"/>
      <c r="C288" s="333"/>
    </row>
    <row r="289">
      <c r="B289" s="333"/>
      <c r="C289" s="333"/>
    </row>
    <row r="290">
      <c r="B290" s="333"/>
      <c r="C290" s="333"/>
    </row>
    <row r="291">
      <c r="B291" s="333"/>
      <c r="C291" s="333"/>
    </row>
    <row r="292">
      <c r="B292" s="333"/>
      <c r="C292" s="333"/>
    </row>
    <row r="293">
      <c r="B293" s="333"/>
      <c r="C293" s="333"/>
    </row>
    <row r="294">
      <c r="B294" s="333"/>
      <c r="C294" s="333"/>
    </row>
    <row r="295">
      <c r="B295" s="333"/>
      <c r="C295" s="333"/>
    </row>
    <row r="296">
      <c r="B296" s="333"/>
      <c r="C296" s="333"/>
    </row>
    <row r="297">
      <c r="B297" s="333"/>
      <c r="C297" s="333"/>
    </row>
    <row r="298">
      <c r="B298" s="333"/>
      <c r="C298" s="333"/>
    </row>
    <row r="299">
      <c r="B299" s="333"/>
      <c r="C299" s="333"/>
    </row>
    <row r="300">
      <c r="B300" s="333"/>
      <c r="C300" s="333"/>
    </row>
    <row r="301">
      <c r="B301" s="333"/>
      <c r="C301" s="333"/>
    </row>
    <row r="302">
      <c r="B302" s="333"/>
      <c r="C302" s="333"/>
    </row>
    <row r="303">
      <c r="B303" s="333"/>
      <c r="C303" s="333"/>
    </row>
    <row r="304">
      <c r="B304" s="333"/>
      <c r="C304" s="333"/>
    </row>
    <row r="305">
      <c r="B305" s="333"/>
      <c r="C305" s="333"/>
    </row>
    <row r="306">
      <c r="B306" s="333"/>
      <c r="C306" s="333"/>
    </row>
    <row r="307">
      <c r="B307" s="333"/>
      <c r="C307" s="333"/>
    </row>
    <row r="308">
      <c r="B308" s="333"/>
      <c r="C308" s="333"/>
    </row>
    <row r="309">
      <c r="B309" s="333"/>
      <c r="C309" s="333"/>
    </row>
    <row r="310">
      <c r="B310" s="333"/>
      <c r="C310" s="333"/>
    </row>
    <row r="311">
      <c r="B311" s="333"/>
      <c r="C311" s="333"/>
    </row>
    <row r="312">
      <c r="B312" s="333"/>
      <c r="C312" s="333"/>
    </row>
    <row r="313">
      <c r="B313" s="333"/>
      <c r="C313" s="333"/>
    </row>
    <row r="314">
      <c r="B314" s="333"/>
      <c r="C314" s="333"/>
    </row>
    <row r="315">
      <c r="B315" s="333"/>
      <c r="C315" s="333"/>
    </row>
    <row r="316">
      <c r="B316" s="333"/>
      <c r="C316" s="333"/>
    </row>
    <row r="317">
      <c r="B317" s="333"/>
      <c r="C317" s="333"/>
    </row>
    <row r="318">
      <c r="B318" s="333"/>
      <c r="C318" s="333"/>
    </row>
    <row r="319">
      <c r="B319" s="333"/>
      <c r="C319" s="333"/>
    </row>
    <row r="320">
      <c r="B320" s="333"/>
      <c r="C320" s="333"/>
    </row>
    <row r="321">
      <c r="B321" s="333"/>
      <c r="C321" s="333"/>
    </row>
    <row r="322">
      <c r="B322" s="333"/>
      <c r="C322" s="333"/>
    </row>
    <row r="323">
      <c r="B323" s="333"/>
      <c r="C323" s="333"/>
    </row>
    <row r="324">
      <c r="B324" s="333"/>
      <c r="C324" s="333"/>
    </row>
    <row r="325">
      <c r="B325" s="333"/>
      <c r="C325" s="333"/>
    </row>
    <row r="326">
      <c r="B326" s="333"/>
      <c r="C326" s="333"/>
    </row>
    <row r="327">
      <c r="B327" s="333"/>
      <c r="C327" s="333"/>
    </row>
    <row r="328">
      <c r="B328" s="333"/>
      <c r="C328" s="333"/>
    </row>
    <row r="329">
      <c r="B329" s="333"/>
      <c r="C329" s="333"/>
    </row>
    <row r="330">
      <c r="B330" s="333"/>
      <c r="C330" s="333"/>
    </row>
    <row r="331">
      <c r="B331" s="333"/>
      <c r="C331" s="333"/>
    </row>
    <row r="332">
      <c r="B332" s="333"/>
      <c r="C332" s="333"/>
    </row>
    <row r="333">
      <c r="B333" s="333"/>
      <c r="C333" s="333"/>
    </row>
    <row r="334">
      <c r="B334" s="333"/>
      <c r="C334" s="333"/>
    </row>
    <row r="335">
      <c r="B335" s="333"/>
      <c r="C335" s="333"/>
    </row>
    <row r="336">
      <c r="B336" s="333"/>
      <c r="C336" s="333"/>
    </row>
    <row r="337">
      <c r="B337" s="333"/>
      <c r="C337" s="333"/>
    </row>
    <row r="338">
      <c r="B338" s="333"/>
      <c r="C338" s="333"/>
    </row>
    <row r="339">
      <c r="B339" s="333"/>
      <c r="C339" s="333"/>
    </row>
    <row r="340">
      <c r="B340" s="333"/>
      <c r="C340" s="333"/>
    </row>
    <row r="341">
      <c r="B341" s="333"/>
      <c r="C341" s="333"/>
    </row>
    <row r="342">
      <c r="B342" s="333"/>
      <c r="C342" s="333"/>
    </row>
    <row r="343">
      <c r="B343" s="333"/>
      <c r="C343" s="333"/>
    </row>
    <row r="344">
      <c r="B344" s="333"/>
      <c r="C344" s="333"/>
    </row>
    <row r="345">
      <c r="B345" s="333"/>
      <c r="C345" s="333"/>
    </row>
    <row r="346">
      <c r="B346" s="333"/>
      <c r="C346" s="333"/>
    </row>
    <row r="347">
      <c r="B347" s="333"/>
      <c r="C347" s="333"/>
    </row>
    <row r="348">
      <c r="B348" s="333"/>
      <c r="C348" s="333"/>
    </row>
    <row r="349">
      <c r="B349" s="333"/>
      <c r="C349" s="333"/>
    </row>
    <row r="350">
      <c r="B350" s="333"/>
      <c r="C350" s="333"/>
    </row>
    <row r="351">
      <c r="B351" s="333"/>
      <c r="C351" s="333"/>
    </row>
    <row r="352">
      <c r="B352" s="333"/>
      <c r="C352" s="333"/>
    </row>
    <row r="353">
      <c r="B353" s="333"/>
      <c r="C353" s="333"/>
    </row>
    <row r="354">
      <c r="B354" s="333"/>
      <c r="C354" s="333"/>
    </row>
    <row r="355">
      <c r="B355" s="333"/>
      <c r="C355" s="333"/>
    </row>
    <row r="356">
      <c r="B356" s="333"/>
      <c r="C356" s="333"/>
    </row>
    <row r="357">
      <c r="B357" s="333"/>
      <c r="C357" s="333"/>
    </row>
    <row r="358">
      <c r="B358" s="333"/>
      <c r="C358" s="333"/>
    </row>
    <row r="359">
      <c r="B359" s="333"/>
      <c r="C359" s="333"/>
    </row>
    <row r="360">
      <c r="B360" s="333"/>
      <c r="C360" s="333"/>
    </row>
    <row r="361">
      <c r="B361" s="333"/>
      <c r="C361" s="333"/>
    </row>
    <row r="362">
      <c r="B362" s="333"/>
      <c r="C362" s="333"/>
    </row>
    <row r="363">
      <c r="B363" s="333"/>
      <c r="C363" s="333"/>
    </row>
    <row r="364">
      <c r="B364" s="333"/>
      <c r="C364" s="333"/>
    </row>
    <row r="365">
      <c r="B365" s="333"/>
      <c r="C365" s="333"/>
    </row>
    <row r="366">
      <c r="B366" s="333"/>
      <c r="C366" s="333"/>
    </row>
    <row r="367">
      <c r="B367" s="333"/>
      <c r="C367" s="333"/>
    </row>
    <row r="368">
      <c r="B368" s="333"/>
      <c r="C368" s="333"/>
    </row>
    <row r="369">
      <c r="B369" s="333"/>
      <c r="C369" s="333"/>
    </row>
    <row r="370">
      <c r="B370" s="333"/>
      <c r="C370" s="333"/>
    </row>
    <row r="371">
      <c r="B371" s="333"/>
      <c r="C371" s="333"/>
    </row>
    <row r="372">
      <c r="B372" s="333"/>
      <c r="C372" s="333"/>
    </row>
    <row r="373">
      <c r="B373" s="333"/>
      <c r="C373" s="333"/>
    </row>
    <row r="374">
      <c r="B374" s="333"/>
      <c r="C374" s="333"/>
    </row>
    <row r="375">
      <c r="B375" s="333"/>
      <c r="C375" s="333"/>
    </row>
    <row r="376">
      <c r="B376" s="333"/>
      <c r="C376" s="333"/>
    </row>
    <row r="377">
      <c r="B377" s="333"/>
      <c r="C377" s="333"/>
    </row>
    <row r="378">
      <c r="B378" s="333"/>
      <c r="C378" s="333"/>
    </row>
    <row r="379">
      <c r="B379" s="333"/>
      <c r="C379" s="333"/>
    </row>
    <row r="380">
      <c r="B380" s="333"/>
      <c r="C380" s="333"/>
    </row>
    <row r="381">
      <c r="B381" s="333"/>
      <c r="C381" s="333"/>
    </row>
    <row r="382">
      <c r="B382" s="333"/>
      <c r="C382" s="333"/>
    </row>
    <row r="383">
      <c r="B383" s="333"/>
      <c r="C383" s="333"/>
    </row>
    <row r="384">
      <c r="B384" s="333"/>
      <c r="C384" s="333"/>
    </row>
    <row r="385">
      <c r="B385" s="333"/>
      <c r="C385" s="333"/>
    </row>
    <row r="386">
      <c r="B386" s="333"/>
      <c r="C386" s="333"/>
    </row>
    <row r="387">
      <c r="B387" s="333"/>
      <c r="C387" s="333"/>
    </row>
    <row r="388">
      <c r="B388" s="333"/>
      <c r="C388" s="333"/>
    </row>
    <row r="389">
      <c r="B389" s="333"/>
      <c r="C389" s="333"/>
    </row>
    <row r="390">
      <c r="B390" s="333"/>
      <c r="C390" s="333"/>
    </row>
    <row r="391">
      <c r="B391" s="333"/>
      <c r="C391" s="333"/>
    </row>
    <row r="392">
      <c r="B392" s="333"/>
      <c r="C392" s="333"/>
    </row>
    <row r="393">
      <c r="B393" s="333"/>
      <c r="C393" s="333"/>
    </row>
    <row r="394">
      <c r="B394" s="333"/>
      <c r="C394" s="333"/>
    </row>
    <row r="395">
      <c r="B395" s="333"/>
      <c r="C395" s="333"/>
    </row>
    <row r="396">
      <c r="B396" s="333"/>
      <c r="C396" s="333"/>
    </row>
    <row r="397">
      <c r="B397" s="333"/>
      <c r="C397" s="333"/>
    </row>
    <row r="398">
      <c r="B398" s="333"/>
      <c r="C398" s="333"/>
    </row>
    <row r="399">
      <c r="B399" s="333"/>
      <c r="C399" s="333"/>
    </row>
    <row r="400">
      <c r="B400" s="333"/>
      <c r="C400" s="333"/>
    </row>
    <row r="401">
      <c r="B401" s="333"/>
      <c r="C401" s="333"/>
    </row>
    <row r="402">
      <c r="B402" s="333"/>
      <c r="C402" s="333"/>
    </row>
    <row r="403">
      <c r="B403" s="333"/>
      <c r="C403" s="333"/>
    </row>
    <row r="404">
      <c r="B404" s="333"/>
      <c r="C404" s="333"/>
    </row>
    <row r="405">
      <c r="B405" s="333"/>
      <c r="C405" s="333"/>
    </row>
    <row r="406">
      <c r="B406" s="333"/>
      <c r="C406" s="333"/>
    </row>
    <row r="407">
      <c r="B407" s="333"/>
      <c r="C407" s="333"/>
    </row>
    <row r="408">
      <c r="B408" s="333"/>
      <c r="C408" s="333"/>
    </row>
    <row r="409">
      <c r="B409" s="333"/>
      <c r="C409" s="333"/>
    </row>
    <row r="410">
      <c r="B410" s="333"/>
      <c r="C410" s="333"/>
    </row>
    <row r="411">
      <c r="B411" s="333"/>
      <c r="C411" s="333"/>
    </row>
    <row r="412">
      <c r="B412" s="333"/>
      <c r="C412" s="333"/>
    </row>
    <row r="413">
      <c r="B413" s="333"/>
      <c r="C413" s="333"/>
    </row>
    <row r="414">
      <c r="B414" s="333"/>
      <c r="C414" s="333"/>
    </row>
    <row r="415">
      <c r="B415" s="333"/>
      <c r="C415" s="333"/>
    </row>
    <row r="416">
      <c r="B416" s="333"/>
      <c r="C416" s="333"/>
    </row>
    <row r="417">
      <c r="B417" s="333"/>
      <c r="C417" s="333"/>
    </row>
    <row r="418">
      <c r="B418" s="333"/>
      <c r="C418" s="333"/>
    </row>
    <row r="419">
      <c r="B419" s="333"/>
      <c r="C419" s="333"/>
    </row>
    <row r="420">
      <c r="B420" s="333"/>
      <c r="C420" s="333"/>
    </row>
    <row r="421">
      <c r="B421" s="333"/>
      <c r="C421" s="333"/>
    </row>
    <row r="422">
      <c r="B422" s="333"/>
      <c r="C422" s="333"/>
    </row>
    <row r="423">
      <c r="B423" s="333"/>
      <c r="C423" s="333"/>
    </row>
    <row r="424">
      <c r="B424" s="333"/>
      <c r="C424" s="333"/>
    </row>
    <row r="425">
      <c r="B425" s="333"/>
      <c r="C425" s="333"/>
    </row>
    <row r="426">
      <c r="B426" s="333"/>
      <c r="C426" s="333"/>
    </row>
    <row r="427">
      <c r="B427" s="333"/>
      <c r="C427" s="333"/>
    </row>
    <row r="428">
      <c r="B428" s="333"/>
      <c r="C428" s="333"/>
    </row>
    <row r="429">
      <c r="B429" s="333"/>
      <c r="C429" s="333"/>
    </row>
    <row r="430">
      <c r="B430" s="333"/>
      <c r="C430" s="333"/>
    </row>
    <row r="431">
      <c r="B431" s="333"/>
      <c r="C431" s="333"/>
    </row>
    <row r="432">
      <c r="B432" s="333"/>
      <c r="C432" s="333"/>
    </row>
    <row r="433">
      <c r="B433" s="333"/>
      <c r="C433" s="333"/>
    </row>
    <row r="434">
      <c r="B434" s="333"/>
      <c r="C434" s="333"/>
    </row>
    <row r="435">
      <c r="B435" s="333"/>
      <c r="C435" s="333"/>
    </row>
    <row r="436">
      <c r="B436" s="333"/>
      <c r="C436" s="333"/>
    </row>
    <row r="437">
      <c r="B437" s="333"/>
      <c r="C437" s="333"/>
    </row>
    <row r="438">
      <c r="B438" s="333"/>
      <c r="C438" s="333"/>
    </row>
    <row r="439">
      <c r="B439" s="333"/>
      <c r="C439" s="333"/>
    </row>
    <row r="440">
      <c r="B440" s="333"/>
      <c r="C440" s="333"/>
    </row>
    <row r="441">
      <c r="B441" s="333"/>
      <c r="C441" s="333"/>
    </row>
    <row r="442">
      <c r="B442" s="333"/>
      <c r="C442" s="333"/>
    </row>
    <row r="443">
      <c r="B443" s="333"/>
      <c r="C443" s="333"/>
    </row>
    <row r="444">
      <c r="B444" s="333"/>
      <c r="C444" s="333"/>
    </row>
    <row r="445">
      <c r="B445" s="333"/>
      <c r="C445" s="333"/>
    </row>
    <row r="446">
      <c r="B446" s="333"/>
      <c r="C446" s="333"/>
    </row>
    <row r="447">
      <c r="B447" s="333"/>
      <c r="C447" s="333"/>
    </row>
    <row r="448">
      <c r="B448" s="333"/>
      <c r="C448" s="333"/>
    </row>
    <row r="449">
      <c r="B449" s="333"/>
      <c r="C449" s="333"/>
    </row>
    <row r="450">
      <c r="B450" s="333"/>
      <c r="C450" s="333"/>
    </row>
    <row r="451">
      <c r="B451" s="333"/>
      <c r="C451" s="333"/>
    </row>
    <row r="452">
      <c r="B452" s="333"/>
      <c r="C452" s="333"/>
    </row>
    <row r="453">
      <c r="B453" s="333"/>
      <c r="C453" s="333"/>
    </row>
    <row r="454">
      <c r="B454" s="333"/>
      <c r="C454" s="333"/>
    </row>
    <row r="455">
      <c r="B455" s="333"/>
      <c r="C455" s="333"/>
    </row>
    <row r="456">
      <c r="B456" s="333"/>
      <c r="C456" s="333"/>
    </row>
    <row r="457">
      <c r="B457" s="333"/>
      <c r="C457" s="333"/>
    </row>
    <row r="458">
      <c r="B458" s="333"/>
      <c r="C458" s="333"/>
    </row>
    <row r="459">
      <c r="B459" s="333"/>
      <c r="C459" s="333"/>
    </row>
    <row r="460">
      <c r="B460" s="333"/>
      <c r="C460" s="333"/>
    </row>
    <row r="461">
      <c r="B461" s="333"/>
      <c r="C461" s="333"/>
    </row>
    <row r="462">
      <c r="B462" s="333"/>
      <c r="C462" s="333"/>
    </row>
    <row r="463">
      <c r="B463" s="333"/>
      <c r="C463" s="333"/>
    </row>
    <row r="464">
      <c r="B464" s="333"/>
      <c r="C464" s="333"/>
    </row>
    <row r="465">
      <c r="B465" s="333"/>
      <c r="C465" s="333"/>
    </row>
    <row r="466">
      <c r="B466" s="333"/>
      <c r="C466" s="333"/>
    </row>
    <row r="467">
      <c r="B467" s="333"/>
      <c r="C467" s="333"/>
    </row>
    <row r="468">
      <c r="B468" s="333"/>
      <c r="C468" s="333"/>
    </row>
    <row r="469">
      <c r="B469" s="333"/>
      <c r="C469" s="333"/>
    </row>
    <row r="470">
      <c r="B470" s="333"/>
      <c r="C470" s="333"/>
    </row>
    <row r="471">
      <c r="B471" s="333"/>
      <c r="C471" s="333"/>
    </row>
    <row r="472">
      <c r="B472" s="333"/>
      <c r="C472" s="333"/>
    </row>
    <row r="473">
      <c r="B473" s="333"/>
      <c r="C473" s="333"/>
    </row>
    <row r="474">
      <c r="B474" s="333"/>
      <c r="C474" s="333"/>
    </row>
    <row r="475">
      <c r="B475" s="333"/>
      <c r="C475" s="333"/>
    </row>
    <row r="476">
      <c r="B476" s="333"/>
      <c r="C476" s="333"/>
    </row>
    <row r="477">
      <c r="B477" s="333"/>
      <c r="C477" s="333"/>
    </row>
    <row r="478">
      <c r="B478" s="333"/>
      <c r="C478" s="333"/>
    </row>
    <row r="479">
      <c r="B479" s="333"/>
      <c r="C479" s="333"/>
    </row>
    <row r="480">
      <c r="B480" s="333"/>
      <c r="C480" s="333"/>
    </row>
    <row r="481">
      <c r="B481" s="333"/>
      <c r="C481" s="333"/>
    </row>
    <row r="482">
      <c r="B482" s="333"/>
      <c r="C482" s="333"/>
    </row>
    <row r="483">
      <c r="B483" s="333"/>
      <c r="C483" s="333"/>
    </row>
    <row r="484">
      <c r="B484" s="333"/>
      <c r="C484" s="333"/>
    </row>
    <row r="485">
      <c r="B485" s="333"/>
      <c r="C485" s="333"/>
    </row>
    <row r="486">
      <c r="B486" s="333"/>
      <c r="C486" s="333"/>
    </row>
    <row r="487">
      <c r="B487" s="333"/>
      <c r="C487" s="333"/>
    </row>
    <row r="488">
      <c r="B488" s="333"/>
      <c r="C488" s="333"/>
    </row>
    <row r="489">
      <c r="B489" s="333"/>
      <c r="C489" s="333"/>
    </row>
    <row r="490">
      <c r="B490" s="333"/>
      <c r="C490" s="333"/>
    </row>
    <row r="491">
      <c r="B491" s="333"/>
      <c r="C491" s="333"/>
    </row>
    <row r="492">
      <c r="B492" s="333"/>
      <c r="C492" s="333"/>
    </row>
    <row r="493">
      <c r="B493" s="333"/>
      <c r="C493" s="333"/>
    </row>
    <row r="494">
      <c r="B494" s="333"/>
      <c r="C494" s="333"/>
    </row>
    <row r="495">
      <c r="B495" s="333"/>
      <c r="C495" s="333"/>
    </row>
    <row r="496">
      <c r="B496" s="333"/>
      <c r="C496" s="333"/>
    </row>
    <row r="497">
      <c r="B497" s="333"/>
      <c r="C497" s="333"/>
    </row>
    <row r="498">
      <c r="B498" s="333"/>
      <c r="C498" s="333"/>
    </row>
    <row r="499">
      <c r="B499" s="333"/>
      <c r="C499" s="333"/>
    </row>
    <row r="500">
      <c r="B500" s="333"/>
      <c r="C500" s="333"/>
    </row>
    <row r="501">
      <c r="B501" s="333"/>
      <c r="C501" s="333"/>
    </row>
    <row r="502">
      <c r="B502" s="333"/>
      <c r="C502" s="333"/>
    </row>
    <row r="503">
      <c r="B503" s="333"/>
      <c r="C503" s="333"/>
    </row>
    <row r="504">
      <c r="B504" s="333"/>
      <c r="C504" s="333"/>
    </row>
    <row r="505">
      <c r="B505" s="333"/>
      <c r="C505" s="333"/>
    </row>
    <row r="506">
      <c r="B506" s="333"/>
      <c r="C506" s="333"/>
    </row>
    <row r="507">
      <c r="B507" s="333"/>
      <c r="C507" s="333"/>
    </row>
    <row r="508">
      <c r="B508" s="333"/>
      <c r="C508" s="333"/>
    </row>
    <row r="509">
      <c r="B509" s="333"/>
      <c r="C509" s="333"/>
    </row>
    <row r="510">
      <c r="B510" s="333"/>
      <c r="C510" s="333"/>
    </row>
    <row r="511">
      <c r="B511" s="333"/>
      <c r="C511" s="333"/>
    </row>
    <row r="512">
      <c r="B512" s="333"/>
      <c r="C512" s="333"/>
    </row>
    <row r="513">
      <c r="B513" s="333"/>
      <c r="C513" s="333"/>
    </row>
    <row r="514">
      <c r="B514" s="333"/>
      <c r="C514" s="333"/>
    </row>
    <row r="515">
      <c r="B515" s="333"/>
      <c r="C515" s="333"/>
    </row>
    <row r="516">
      <c r="B516" s="333"/>
      <c r="C516" s="333"/>
    </row>
    <row r="517">
      <c r="B517" s="333"/>
      <c r="C517" s="333"/>
    </row>
    <row r="518">
      <c r="B518" s="333"/>
      <c r="C518" s="333"/>
    </row>
    <row r="519">
      <c r="B519" s="333"/>
      <c r="C519" s="333"/>
    </row>
    <row r="520">
      <c r="B520" s="333"/>
      <c r="C520" s="333"/>
    </row>
    <row r="521">
      <c r="B521" s="333"/>
      <c r="C521" s="333"/>
    </row>
    <row r="522">
      <c r="B522" s="333"/>
      <c r="C522" s="333"/>
    </row>
    <row r="523">
      <c r="B523" s="333"/>
      <c r="C523" s="333"/>
    </row>
    <row r="524">
      <c r="B524" s="333"/>
      <c r="C524" s="333"/>
    </row>
    <row r="525">
      <c r="B525" s="333"/>
      <c r="C525" s="333"/>
    </row>
    <row r="526">
      <c r="B526" s="333"/>
      <c r="C526" s="333"/>
    </row>
    <row r="527">
      <c r="B527" s="333"/>
      <c r="C527" s="333"/>
    </row>
    <row r="528">
      <c r="B528" s="333"/>
      <c r="C528" s="333"/>
    </row>
    <row r="529">
      <c r="B529" s="333"/>
      <c r="C529" s="333"/>
    </row>
    <row r="530">
      <c r="B530" s="333"/>
      <c r="C530" s="333"/>
    </row>
    <row r="531">
      <c r="B531" s="333"/>
      <c r="C531" s="333"/>
    </row>
    <row r="532">
      <c r="B532" s="333"/>
      <c r="C532" s="333"/>
    </row>
    <row r="533">
      <c r="B533" s="333"/>
      <c r="C533" s="333"/>
    </row>
    <row r="534">
      <c r="B534" s="333"/>
      <c r="C534" s="333"/>
    </row>
    <row r="535">
      <c r="B535" s="333"/>
      <c r="C535" s="333"/>
    </row>
    <row r="536">
      <c r="B536" s="333"/>
      <c r="C536" s="333"/>
    </row>
    <row r="537">
      <c r="B537" s="333"/>
      <c r="C537" s="333"/>
    </row>
    <row r="538">
      <c r="B538" s="333"/>
      <c r="C538" s="333"/>
    </row>
    <row r="539">
      <c r="B539" s="333"/>
      <c r="C539" s="333"/>
    </row>
    <row r="540">
      <c r="B540" s="333"/>
      <c r="C540" s="333"/>
    </row>
    <row r="541">
      <c r="B541" s="333"/>
      <c r="C541" s="333"/>
    </row>
    <row r="542">
      <c r="B542" s="333"/>
      <c r="C542" s="333"/>
    </row>
    <row r="543">
      <c r="B543" s="333"/>
      <c r="C543" s="333"/>
    </row>
    <row r="544">
      <c r="B544" s="333"/>
      <c r="C544" s="333"/>
    </row>
    <row r="545">
      <c r="B545" s="333"/>
      <c r="C545" s="333"/>
    </row>
    <row r="546">
      <c r="B546" s="333"/>
      <c r="C546" s="333"/>
    </row>
    <row r="547">
      <c r="B547" s="333"/>
      <c r="C547" s="333"/>
    </row>
    <row r="548">
      <c r="B548" s="333"/>
      <c r="C548" s="333"/>
    </row>
    <row r="549">
      <c r="B549" s="333"/>
      <c r="C549" s="333"/>
    </row>
    <row r="550">
      <c r="B550" s="333"/>
      <c r="C550" s="333"/>
    </row>
    <row r="551">
      <c r="B551" s="333"/>
      <c r="C551" s="333"/>
    </row>
    <row r="552">
      <c r="B552" s="333"/>
      <c r="C552" s="333"/>
    </row>
    <row r="553">
      <c r="B553" s="333"/>
      <c r="C553" s="333"/>
    </row>
    <row r="554">
      <c r="B554" s="333"/>
      <c r="C554" s="333"/>
    </row>
    <row r="555">
      <c r="B555" s="333"/>
      <c r="C555" s="333"/>
    </row>
    <row r="556">
      <c r="B556" s="333"/>
      <c r="C556" s="333"/>
    </row>
    <row r="557">
      <c r="B557" s="333"/>
      <c r="C557" s="333"/>
    </row>
    <row r="558">
      <c r="B558" s="333"/>
      <c r="C558" s="333"/>
    </row>
    <row r="559">
      <c r="B559" s="333"/>
      <c r="C559" s="333"/>
    </row>
    <row r="560">
      <c r="B560" s="333"/>
      <c r="C560" s="333"/>
    </row>
    <row r="561">
      <c r="B561" s="333"/>
      <c r="C561" s="333"/>
    </row>
    <row r="562">
      <c r="B562" s="333"/>
      <c r="C562" s="333"/>
    </row>
    <row r="563">
      <c r="B563" s="333"/>
      <c r="C563" s="333"/>
    </row>
    <row r="564">
      <c r="B564" s="333"/>
      <c r="C564" s="333"/>
    </row>
    <row r="565">
      <c r="B565" s="333"/>
      <c r="C565" s="333"/>
    </row>
    <row r="566">
      <c r="B566" s="333"/>
      <c r="C566" s="333"/>
    </row>
    <row r="567">
      <c r="B567" s="333"/>
      <c r="C567" s="333"/>
    </row>
    <row r="568">
      <c r="B568" s="333"/>
      <c r="C568" s="333"/>
    </row>
    <row r="569">
      <c r="B569" s="333"/>
      <c r="C569" s="333"/>
    </row>
    <row r="570">
      <c r="B570" s="333"/>
      <c r="C570" s="333"/>
    </row>
    <row r="571">
      <c r="B571" s="333"/>
      <c r="C571" s="333"/>
    </row>
    <row r="572">
      <c r="B572" s="333"/>
      <c r="C572" s="333"/>
    </row>
    <row r="573">
      <c r="B573" s="333"/>
      <c r="C573" s="333"/>
    </row>
    <row r="574">
      <c r="B574" s="333"/>
      <c r="C574" s="333"/>
    </row>
    <row r="575">
      <c r="B575" s="333"/>
      <c r="C575" s="333"/>
    </row>
    <row r="576">
      <c r="B576" s="333"/>
      <c r="C576" s="333"/>
    </row>
    <row r="577">
      <c r="B577" s="333"/>
      <c r="C577" s="333"/>
    </row>
    <row r="578">
      <c r="B578" s="333"/>
      <c r="C578" s="333"/>
    </row>
    <row r="579">
      <c r="B579" s="333"/>
      <c r="C579" s="333"/>
    </row>
    <row r="580">
      <c r="B580" s="333"/>
      <c r="C580" s="333"/>
    </row>
    <row r="581">
      <c r="B581" s="333"/>
      <c r="C581" s="333"/>
    </row>
    <row r="582">
      <c r="B582" s="333"/>
      <c r="C582" s="333"/>
    </row>
    <row r="583">
      <c r="B583" s="333"/>
      <c r="C583" s="333"/>
    </row>
    <row r="584">
      <c r="B584" s="333"/>
      <c r="C584" s="333"/>
    </row>
    <row r="585">
      <c r="B585" s="333"/>
      <c r="C585" s="333"/>
    </row>
    <row r="586">
      <c r="B586" s="333"/>
      <c r="C586" s="333"/>
    </row>
    <row r="587">
      <c r="B587" s="333"/>
      <c r="C587" s="333"/>
    </row>
    <row r="588">
      <c r="B588" s="333"/>
      <c r="C588" s="333"/>
    </row>
    <row r="589">
      <c r="B589" s="333"/>
      <c r="C589" s="333"/>
    </row>
    <row r="590">
      <c r="B590" s="333"/>
      <c r="C590" s="333"/>
    </row>
    <row r="591">
      <c r="B591" s="333"/>
      <c r="C591" s="333"/>
    </row>
    <row r="592">
      <c r="B592" s="333"/>
      <c r="C592" s="333"/>
    </row>
    <row r="593">
      <c r="B593" s="333"/>
      <c r="C593" s="333"/>
    </row>
    <row r="594">
      <c r="B594" s="333"/>
      <c r="C594" s="333"/>
    </row>
    <row r="595">
      <c r="B595" s="333"/>
      <c r="C595" s="333"/>
    </row>
    <row r="596">
      <c r="B596" s="333"/>
      <c r="C596" s="333"/>
    </row>
    <row r="597">
      <c r="B597" s="333"/>
      <c r="C597" s="333"/>
    </row>
    <row r="598">
      <c r="B598" s="333"/>
      <c r="C598" s="333"/>
    </row>
    <row r="599">
      <c r="B599" s="333"/>
      <c r="C599" s="333"/>
    </row>
    <row r="600">
      <c r="B600" s="333"/>
      <c r="C600" s="333"/>
    </row>
    <row r="601">
      <c r="B601" s="333"/>
      <c r="C601" s="333"/>
    </row>
    <row r="602">
      <c r="B602" s="333"/>
      <c r="C602" s="333"/>
    </row>
    <row r="603">
      <c r="B603" s="333"/>
      <c r="C603" s="333"/>
    </row>
    <row r="604">
      <c r="B604" s="333"/>
      <c r="C604" s="333"/>
    </row>
    <row r="605">
      <c r="B605" s="333"/>
      <c r="C605" s="333"/>
    </row>
    <row r="606">
      <c r="B606" s="333"/>
      <c r="C606" s="333"/>
    </row>
    <row r="607">
      <c r="B607" s="333"/>
      <c r="C607" s="333"/>
    </row>
    <row r="608">
      <c r="B608" s="333"/>
      <c r="C608" s="333"/>
    </row>
    <row r="609">
      <c r="B609" s="333"/>
      <c r="C609" s="333"/>
    </row>
    <row r="610">
      <c r="B610" s="333"/>
      <c r="C610" s="333"/>
    </row>
    <row r="611">
      <c r="B611" s="333"/>
      <c r="C611" s="333"/>
    </row>
    <row r="612">
      <c r="B612" s="333"/>
      <c r="C612" s="333"/>
    </row>
    <row r="613">
      <c r="B613" s="333"/>
      <c r="C613" s="333"/>
    </row>
    <row r="614">
      <c r="B614" s="333"/>
      <c r="C614" s="333"/>
    </row>
    <row r="615">
      <c r="B615" s="333"/>
      <c r="C615" s="333"/>
    </row>
    <row r="616">
      <c r="B616" s="333"/>
      <c r="C616" s="333"/>
    </row>
    <row r="617">
      <c r="B617" s="333"/>
      <c r="C617" s="333"/>
    </row>
    <row r="618">
      <c r="B618" s="333"/>
      <c r="C618" s="333"/>
    </row>
    <row r="619">
      <c r="B619" s="333"/>
      <c r="C619" s="333"/>
    </row>
    <row r="620">
      <c r="B620" s="333"/>
      <c r="C620" s="333"/>
    </row>
    <row r="621">
      <c r="B621" s="333"/>
      <c r="C621" s="333"/>
    </row>
    <row r="622">
      <c r="B622" s="333"/>
      <c r="C622" s="333"/>
    </row>
    <row r="623">
      <c r="B623" s="333"/>
      <c r="C623" s="333"/>
    </row>
    <row r="624">
      <c r="B624" s="333"/>
      <c r="C624" s="333"/>
    </row>
    <row r="625">
      <c r="B625" s="333"/>
      <c r="C625" s="333"/>
    </row>
    <row r="626">
      <c r="B626" s="333"/>
      <c r="C626" s="333"/>
    </row>
    <row r="627">
      <c r="B627" s="333"/>
      <c r="C627" s="333"/>
    </row>
    <row r="628">
      <c r="B628" s="333"/>
      <c r="C628" s="333"/>
    </row>
    <row r="629">
      <c r="B629" s="333"/>
      <c r="C629" s="333"/>
    </row>
    <row r="630">
      <c r="B630" s="333"/>
      <c r="C630" s="333"/>
    </row>
    <row r="631">
      <c r="B631" s="333"/>
      <c r="C631" s="333"/>
    </row>
    <row r="632">
      <c r="B632" s="333"/>
      <c r="C632" s="333"/>
    </row>
    <row r="633">
      <c r="B633" s="333"/>
      <c r="C633" s="333"/>
    </row>
    <row r="634">
      <c r="B634" s="333"/>
      <c r="C634" s="333"/>
    </row>
    <row r="635">
      <c r="B635" s="333"/>
      <c r="C635" s="333"/>
    </row>
    <row r="636">
      <c r="B636" s="333"/>
      <c r="C636" s="333"/>
    </row>
    <row r="637">
      <c r="B637" s="333"/>
      <c r="C637" s="333"/>
    </row>
    <row r="638">
      <c r="B638" s="333"/>
      <c r="C638" s="333"/>
    </row>
    <row r="639">
      <c r="B639" s="333"/>
      <c r="C639" s="333"/>
    </row>
    <row r="640">
      <c r="B640" s="333"/>
      <c r="C640" s="333"/>
    </row>
    <row r="641">
      <c r="B641" s="333"/>
      <c r="C641" s="333"/>
    </row>
    <row r="642">
      <c r="B642" s="333"/>
      <c r="C642" s="333"/>
    </row>
    <row r="643">
      <c r="B643" s="333"/>
      <c r="C643" s="333"/>
    </row>
    <row r="644">
      <c r="B644" s="333"/>
      <c r="C644" s="333"/>
    </row>
    <row r="645">
      <c r="B645" s="333"/>
      <c r="C645" s="333"/>
    </row>
    <row r="646">
      <c r="B646" s="333"/>
      <c r="C646" s="333"/>
    </row>
    <row r="647">
      <c r="B647" s="333"/>
      <c r="C647" s="333"/>
    </row>
    <row r="648">
      <c r="B648" s="333"/>
      <c r="C648" s="333"/>
    </row>
    <row r="649">
      <c r="B649" s="333"/>
      <c r="C649" s="333"/>
    </row>
    <row r="650">
      <c r="B650" s="333"/>
      <c r="C650" s="333"/>
    </row>
    <row r="651">
      <c r="B651" s="333"/>
      <c r="C651" s="333"/>
    </row>
    <row r="652">
      <c r="B652" s="333"/>
      <c r="C652" s="333"/>
    </row>
    <row r="653">
      <c r="B653" s="333"/>
      <c r="C653" s="333"/>
    </row>
    <row r="654">
      <c r="B654" s="333"/>
      <c r="C654" s="333"/>
    </row>
    <row r="655">
      <c r="B655" s="333"/>
      <c r="C655" s="333"/>
    </row>
    <row r="656">
      <c r="B656" s="333"/>
      <c r="C656" s="333"/>
    </row>
    <row r="657">
      <c r="B657" s="333"/>
      <c r="C657" s="333"/>
    </row>
    <row r="658">
      <c r="B658" s="333"/>
      <c r="C658" s="333"/>
    </row>
    <row r="659">
      <c r="B659" s="333"/>
      <c r="C659" s="333"/>
    </row>
    <row r="660">
      <c r="B660" s="333"/>
      <c r="C660" s="333"/>
    </row>
    <row r="661">
      <c r="B661" s="333"/>
      <c r="C661" s="333"/>
    </row>
    <row r="662">
      <c r="B662" s="333"/>
      <c r="C662" s="333"/>
    </row>
    <row r="663">
      <c r="B663" s="333"/>
      <c r="C663" s="333"/>
    </row>
    <row r="664">
      <c r="B664" s="333"/>
      <c r="C664" s="333"/>
    </row>
    <row r="665">
      <c r="B665" s="333"/>
      <c r="C665" s="333"/>
    </row>
    <row r="666">
      <c r="B666" s="333"/>
      <c r="C666" s="333"/>
    </row>
    <row r="667">
      <c r="B667" s="333"/>
      <c r="C667" s="333"/>
    </row>
    <row r="668">
      <c r="B668" s="333"/>
      <c r="C668" s="333"/>
    </row>
    <row r="669">
      <c r="B669" s="333"/>
      <c r="C669" s="333"/>
    </row>
    <row r="670">
      <c r="B670" s="333"/>
      <c r="C670" s="333"/>
    </row>
    <row r="671">
      <c r="B671" s="333"/>
      <c r="C671" s="333"/>
    </row>
    <row r="672">
      <c r="B672" s="333"/>
      <c r="C672" s="333"/>
    </row>
    <row r="673">
      <c r="B673" s="333"/>
      <c r="C673" s="333"/>
    </row>
    <row r="674">
      <c r="B674" s="333"/>
      <c r="C674" s="333"/>
    </row>
    <row r="675">
      <c r="B675" s="333"/>
      <c r="C675" s="333"/>
    </row>
    <row r="676">
      <c r="B676" s="333"/>
      <c r="C676" s="333"/>
    </row>
    <row r="677">
      <c r="B677" s="333"/>
      <c r="C677" s="333"/>
    </row>
    <row r="678">
      <c r="B678" s="333"/>
      <c r="C678" s="333"/>
    </row>
    <row r="679">
      <c r="B679" s="333"/>
      <c r="C679" s="333"/>
    </row>
    <row r="680">
      <c r="B680" s="333"/>
      <c r="C680" s="333"/>
    </row>
    <row r="681">
      <c r="B681" s="333"/>
      <c r="C681" s="333"/>
    </row>
    <row r="682">
      <c r="B682" s="333"/>
      <c r="C682" s="333"/>
    </row>
    <row r="683">
      <c r="B683" s="333"/>
      <c r="C683" s="333"/>
    </row>
    <row r="684">
      <c r="B684" s="333"/>
      <c r="C684" s="333"/>
    </row>
    <row r="685">
      <c r="B685" s="333"/>
      <c r="C685" s="333"/>
    </row>
    <row r="686">
      <c r="B686" s="333"/>
      <c r="C686" s="333"/>
    </row>
    <row r="687">
      <c r="B687" s="333"/>
      <c r="C687" s="333"/>
    </row>
    <row r="688">
      <c r="B688" s="333"/>
      <c r="C688" s="333"/>
    </row>
    <row r="689">
      <c r="B689" s="333"/>
      <c r="C689" s="333"/>
    </row>
    <row r="690">
      <c r="B690" s="333"/>
      <c r="C690" s="333"/>
    </row>
    <row r="691">
      <c r="B691" s="333"/>
      <c r="C691" s="333"/>
    </row>
    <row r="692">
      <c r="B692" s="333"/>
      <c r="C692" s="333"/>
    </row>
    <row r="693">
      <c r="B693" s="333"/>
      <c r="C693" s="333"/>
    </row>
    <row r="694">
      <c r="B694" s="333"/>
      <c r="C694" s="333"/>
    </row>
    <row r="695">
      <c r="B695" s="333"/>
      <c r="C695" s="333"/>
    </row>
    <row r="696">
      <c r="B696" s="333"/>
      <c r="C696" s="333"/>
    </row>
    <row r="697">
      <c r="B697" s="333"/>
      <c r="C697" s="333"/>
    </row>
    <row r="698">
      <c r="B698" s="333"/>
      <c r="C698" s="333"/>
    </row>
    <row r="699">
      <c r="B699" s="333"/>
      <c r="C699" s="333"/>
    </row>
    <row r="700">
      <c r="B700" s="333"/>
      <c r="C700" s="333"/>
    </row>
    <row r="701">
      <c r="B701" s="333"/>
      <c r="C701" s="333"/>
    </row>
    <row r="702">
      <c r="B702" s="333"/>
      <c r="C702" s="333"/>
    </row>
    <row r="703">
      <c r="B703" s="333"/>
      <c r="C703" s="333"/>
    </row>
    <row r="704">
      <c r="B704" s="333"/>
      <c r="C704" s="333"/>
    </row>
    <row r="705">
      <c r="B705" s="333"/>
      <c r="C705" s="333"/>
    </row>
    <row r="706">
      <c r="B706" s="333"/>
      <c r="C706" s="333"/>
    </row>
    <row r="707">
      <c r="B707" s="333"/>
      <c r="C707" s="333"/>
    </row>
    <row r="708">
      <c r="B708" s="333"/>
      <c r="C708" s="333"/>
    </row>
    <row r="709">
      <c r="B709" s="333"/>
      <c r="C709" s="333"/>
    </row>
    <row r="710">
      <c r="B710" s="333"/>
      <c r="C710" s="333"/>
    </row>
    <row r="711">
      <c r="B711" s="333"/>
      <c r="C711" s="333"/>
    </row>
    <row r="712">
      <c r="B712" s="333"/>
      <c r="C712" s="333"/>
    </row>
    <row r="713">
      <c r="B713" s="333"/>
      <c r="C713" s="333"/>
    </row>
    <row r="714">
      <c r="B714" s="333"/>
      <c r="C714" s="333"/>
    </row>
    <row r="715">
      <c r="B715" s="333"/>
      <c r="C715" s="333"/>
    </row>
    <row r="716">
      <c r="B716" s="333"/>
      <c r="C716" s="333"/>
    </row>
    <row r="717">
      <c r="B717" s="333"/>
      <c r="C717" s="333"/>
    </row>
    <row r="718">
      <c r="B718" s="333"/>
      <c r="C718" s="333"/>
    </row>
    <row r="719">
      <c r="B719" s="333"/>
      <c r="C719" s="333"/>
    </row>
    <row r="720">
      <c r="B720" s="333"/>
      <c r="C720" s="333"/>
    </row>
    <row r="721">
      <c r="B721" s="333"/>
      <c r="C721" s="333"/>
    </row>
    <row r="722">
      <c r="B722" s="333"/>
      <c r="C722" s="333"/>
    </row>
    <row r="723">
      <c r="B723" s="333"/>
      <c r="C723" s="333"/>
    </row>
    <row r="724">
      <c r="B724" s="333"/>
      <c r="C724" s="333"/>
    </row>
    <row r="725">
      <c r="B725" s="333"/>
      <c r="C725" s="333"/>
    </row>
    <row r="726">
      <c r="B726" s="333"/>
      <c r="C726" s="333"/>
    </row>
    <row r="727">
      <c r="B727" s="333"/>
      <c r="C727" s="333"/>
    </row>
    <row r="728">
      <c r="B728" s="333"/>
      <c r="C728" s="333"/>
    </row>
    <row r="729">
      <c r="B729" s="333"/>
      <c r="C729" s="333"/>
    </row>
    <row r="730">
      <c r="B730" s="333"/>
      <c r="C730" s="333"/>
    </row>
    <row r="731">
      <c r="B731" s="333"/>
      <c r="C731" s="333"/>
    </row>
    <row r="732">
      <c r="B732" s="333"/>
      <c r="C732" s="333"/>
    </row>
    <row r="733">
      <c r="B733" s="333"/>
      <c r="C733" s="333"/>
    </row>
    <row r="734">
      <c r="B734" s="333"/>
      <c r="C734" s="333"/>
    </row>
    <row r="735">
      <c r="B735" s="333"/>
      <c r="C735" s="333"/>
    </row>
    <row r="736">
      <c r="B736" s="333"/>
      <c r="C736" s="333"/>
    </row>
    <row r="737">
      <c r="B737" s="333"/>
      <c r="C737" s="333"/>
    </row>
    <row r="738">
      <c r="B738" s="333"/>
      <c r="C738" s="333"/>
    </row>
    <row r="739">
      <c r="B739" s="333"/>
      <c r="C739" s="333"/>
    </row>
    <row r="740">
      <c r="B740" s="333"/>
      <c r="C740" s="333"/>
    </row>
    <row r="741">
      <c r="B741" s="333"/>
      <c r="C741" s="333"/>
    </row>
    <row r="742">
      <c r="B742" s="333"/>
      <c r="C742" s="333"/>
    </row>
    <row r="743">
      <c r="B743" s="333"/>
      <c r="C743" s="333"/>
    </row>
    <row r="744">
      <c r="B744" s="333"/>
      <c r="C744" s="333"/>
    </row>
    <row r="745">
      <c r="B745" s="333"/>
      <c r="C745" s="333"/>
    </row>
    <row r="746">
      <c r="B746" s="333"/>
      <c r="C746" s="333"/>
    </row>
    <row r="747">
      <c r="B747" s="333"/>
      <c r="C747" s="333"/>
    </row>
    <row r="748">
      <c r="B748" s="333"/>
      <c r="C748" s="333"/>
    </row>
    <row r="749">
      <c r="B749" s="333"/>
      <c r="C749" s="333"/>
    </row>
    <row r="750">
      <c r="B750" s="333"/>
      <c r="C750" s="333"/>
    </row>
    <row r="751">
      <c r="B751" s="333"/>
      <c r="C751" s="333"/>
    </row>
    <row r="752">
      <c r="B752" s="333"/>
      <c r="C752" s="333"/>
    </row>
    <row r="753">
      <c r="B753" s="333"/>
      <c r="C753" s="333"/>
    </row>
    <row r="754">
      <c r="B754" s="333"/>
      <c r="C754" s="333"/>
    </row>
    <row r="755">
      <c r="B755" s="333"/>
      <c r="C755" s="333"/>
    </row>
    <row r="756">
      <c r="B756" s="333"/>
      <c r="C756" s="333"/>
    </row>
    <row r="757">
      <c r="B757" s="333"/>
      <c r="C757" s="333"/>
    </row>
    <row r="758">
      <c r="B758" s="333"/>
      <c r="C758" s="333"/>
    </row>
    <row r="759">
      <c r="B759" s="333"/>
      <c r="C759" s="333"/>
    </row>
    <row r="760">
      <c r="B760" s="333"/>
      <c r="C760" s="333"/>
    </row>
    <row r="761">
      <c r="B761" s="333"/>
      <c r="C761" s="333"/>
    </row>
    <row r="762">
      <c r="B762" s="333"/>
      <c r="C762" s="333"/>
    </row>
    <row r="763">
      <c r="B763" s="333"/>
      <c r="C763" s="333"/>
    </row>
    <row r="764">
      <c r="B764" s="333"/>
      <c r="C764" s="333"/>
    </row>
    <row r="765">
      <c r="B765" s="333"/>
      <c r="C765" s="333"/>
    </row>
    <row r="766">
      <c r="B766" s="333"/>
      <c r="C766" s="333"/>
    </row>
    <row r="767">
      <c r="B767" s="333"/>
      <c r="C767" s="333"/>
    </row>
    <row r="768">
      <c r="B768" s="333"/>
      <c r="C768" s="333"/>
    </row>
    <row r="769">
      <c r="B769" s="333"/>
      <c r="C769" s="333"/>
    </row>
    <row r="770">
      <c r="B770" s="333"/>
      <c r="C770" s="333"/>
    </row>
    <row r="771">
      <c r="B771" s="333"/>
      <c r="C771" s="333"/>
    </row>
    <row r="772">
      <c r="B772" s="333"/>
      <c r="C772" s="333"/>
    </row>
    <row r="773">
      <c r="B773" s="333"/>
      <c r="C773" s="333"/>
    </row>
    <row r="774">
      <c r="B774" s="333"/>
      <c r="C774" s="333"/>
    </row>
    <row r="775">
      <c r="B775" s="333"/>
      <c r="C775" s="333"/>
    </row>
    <row r="776">
      <c r="B776" s="333"/>
      <c r="C776" s="333"/>
    </row>
    <row r="777">
      <c r="B777" s="333"/>
      <c r="C777" s="333"/>
    </row>
    <row r="778">
      <c r="B778" s="333"/>
      <c r="C778" s="333"/>
    </row>
    <row r="779">
      <c r="B779" s="333"/>
      <c r="C779" s="333"/>
    </row>
    <row r="780">
      <c r="B780" s="333"/>
      <c r="C780" s="333"/>
    </row>
    <row r="781">
      <c r="B781" s="333"/>
      <c r="C781" s="333"/>
    </row>
    <row r="782">
      <c r="B782" s="333"/>
      <c r="C782" s="333"/>
    </row>
    <row r="783">
      <c r="B783" s="333"/>
      <c r="C783" s="333"/>
    </row>
    <row r="784">
      <c r="B784" s="333"/>
      <c r="C784" s="333"/>
    </row>
    <row r="785">
      <c r="B785" s="333"/>
      <c r="C785" s="333"/>
    </row>
    <row r="786">
      <c r="B786" s="333"/>
      <c r="C786" s="333"/>
    </row>
    <row r="787">
      <c r="B787" s="333"/>
      <c r="C787" s="333"/>
    </row>
    <row r="788">
      <c r="B788" s="333"/>
      <c r="C788" s="333"/>
    </row>
    <row r="789">
      <c r="B789" s="333"/>
      <c r="C789" s="333"/>
    </row>
    <row r="790">
      <c r="B790" s="333"/>
      <c r="C790" s="333"/>
    </row>
    <row r="791">
      <c r="B791" s="333"/>
      <c r="C791" s="333"/>
    </row>
    <row r="792">
      <c r="B792" s="333"/>
      <c r="C792" s="333"/>
    </row>
    <row r="793">
      <c r="B793" s="333"/>
      <c r="C793" s="333"/>
    </row>
    <row r="794">
      <c r="B794" s="333"/>
      <c r="C794" s="333"/>
    </row>
    <row r="795">
      <c r="B795" s="333"/>
      <c r="C795" s="333"/>
    </row>
    <row r="796">
      <c r="B796" s="333"/>
      <c r="C796" s="333"/>
    </row>
    <row r="797">
      <c r="B797" s="333"/>
      <c r="C797" s="333"/>
    </row>
    <row r="798">
      <c r="B798" s="333"/>
      <c r="C798" s="333"/>
    </row>
    <row r="799">
      <c r="B799" s="333"/>
      <c r="C799" s="333"/>
    </row>
    <row r="800">
      <c r="B800" s="333"/>
      <c r="C800" s="333"/>
    </row>
    <row r="801">
      <c r="B801" s="333"/>
      <c r="C801" s="333"/>
    </row>
    <row r="802">
      <c r="B802" s="333"/>
      <c r="C802" s="333"/>
    </row>
    <row r="803">
      <c r="B803" s="333"/>
      <c r="C803" s="333"/>
    </row>
    <row r="804">
      <c r="B804" s="333"/>
      <c r="C804" s="333"/>
    </row>
    <row r="805">
      <c r="B805" s="333"/>
      <c r="C805" s="333"/>
    </row>
    <row r="806">
      <c r="B806" s="333"/>
      <c r="C806" s="333"/>
    </row>
    <row r="807">
      <c r="B807" s="333"/>
      <c r="C807" s="333"/>
    </row>
    <row r="808">
      <c r="B808" s="333"/>
      <c r="C808" s="333"/>
    </row>
    <row r="809">
      <c r="B809" s="333"/>
      <c r="C809" s="333"/>
    </row>
    <row r="810">
      <c r="B810" s="333"/>
      <c r="C810" s="333"/>
    </row>
    <row r="811">
      <c r="B811" s="333"/>
      <c r="C811" s="333"/>
    </row>
    <row r="812">
      <c r="B812" s="333"/>
      <c r="C812" s="333"/>
    </row>
    <row r="813">
      <c r="B813" s="333"/>
      <c r="C813" s="333"/>
    </row>
    <row r="814">
      <c r="B814" s="333"/>
      <c r="C814" s="333"/>
    </row>
    <row r="815">
      <c r="B815" s="333"/>
      <c r="C815" s="333"/>
    </row>
    <row r="816">
      <c r="B816" s="333"/>
      <c r="C816" s="333"/>
    </row>
    <row r="817">
      <c r="B817" s="333"/>
      <c r="C817" s="333"/>
    </row>
    <row r="818">
      <c r="B818" s="333"/>
      <c r="C818" s="333"/>
    </row>
    <row r="819">
      <c r="B819" s="333"/>
      <c r="C819" s="333"/>
    </row>
    <row r="820">
      <c r="B820" s="333"/>
      <c r="C820" s="333"/>
    </row>
    <row r="821">
      <c r="B821" s="333"/>
      <c r="C821" s="333"/>
    </row>
    <row r="822">
      <c r="B822" s="333"/>
      <c r="C822" s="333"/>
    </row>
    <row r="823">
      <c r="B823" s="333"/>
      <c r="C823" s="333"/>
    </row>
    <row r="824">
      <c r="B824" s="333"/>
      <c r="C824" s="333"/>
    </row>
    <row r="825">
      <c r="B825" s="333"/>
      <c r="C825" s="333"/>
    </row>
    <row r="826">
      <c r="B826" s="333"/>
      <c r="C826" s="333"/>
    </row>
    <row r="827">
      <c r="B827" s="333"/>
      <c r="C827" s="333"/>
    </row>
    <row r="828">
      <c r="B828" s="333"/>
      <c r="C828" s="333"/>
    </row>
    <row r="829">
      <c r="B829" s="333"/>
      <c r="C829" s="333"/>
    </row>
    <row r="830">
      <c r="B830" s="333"/>
      <c r="C830" s="333"/>
    </row>
    <row r="831">
      <c r="B831" s="333"/>
      <c r="C831" s="333"/>
    </row>
    <row r="832">
      <c r="B832" s="333"/>
      <c r="C832" s="333"/>
    </row>
    <row r="833">
      <c r="B833" s="333"/>
      <c r="C833" s="333"/>
    </row>
    <row r="834">
      <c r="B834" s="333"/>
      <c r="C834" s="333"/>
    </row>
    <row r="835">
      <c r="B835" s="333"/>
      <c r="C835" s="333"/>
    </row>
    <row r="836">
      <c r="B836" s="333"/>
      <c r="C836" s="333"/>
    </row>
    <row r="837">
      <c r="B837" s="333"/>
      <c r="C837" s="333"/>
    </row>
    <row r="838">
      <c r="B838" s="333"/>
      <c r="C838" s="333"/>
    </row>
    <row r="839">
      <c r="B839" s="333"/>
      <c r="C839" s="333"/>
    </row>
    <row r="840">
      <c r="B840" s="333"/>
      <c r="C840" s="333"/>
    </row>
    <row r="841">
      <c r="B841" s="333"/>
      <c r="C841" s="333"/>
    </row>
    <row r="842">
      <c r="B842" s="333"/>
      <c r="C842" s="333"/>
    </row>
    <row r="843">
      <c r="B843" s="333"/>
      <c r="C843" s="333"/>
    </row>
    <row r="844">
      <c r="B844" s="333"/>
      <c r="C844" s="333"/>
    </row>
    <row r="845">
      <c r="B845" s="333"/>
      <c r="C845" s="333"/>
    </row>
    <row r="846">
      <c r="B846" s="333"/>
      <c r="C846" s="333"/>
    </row>
    <row r="847">
      <c r="B847" s="333"/>
      <c r="C847" s="333"/>
    </row>
    <row r="848">
      <c r="B848" s="333"/>
      <c r="C848" s="333"/>
    </row>
    <row r="849">
      <c r="B849" s="333"/>
      <c r="C849" s="333"/>
    </row>
    <row r="850">
      <c r="B850" s="333"/>
      <c r="C850" s="333"/>
    </row>
    <row r="851">
      <c r="B851" s="333"/>
      <c r="C851" s="333"/>
    </row>
    <row r="852">
      <c r="B852" s="333"/>
      <c r="C852" s="333"/>
    </row>
    <row r="853">
      <c r="B853" s="333"/>
      <c r="C853" s="333"/>
    </row>
    <row r="854">
      <c r="B854" s="333"/>
      <c r="C854" s="333"/>
    </row>
    <row r="855">
      <c r="B855" s="333"/>
      <c r="C855" s="333"/>
    </row>
    <row r="856">
      <c r="B856" s="333"/>
      <c r="C856" s="333"/>
    </row>
    <row r="857">
      <c r="B857" s="333"/>
      <c r="C857" s="333"/>
    </row>
    <row r="858">
      <c r="B858" s="333"/>
      <c r="C858" s="333"/>
    </row>
    <row r="859">
      <c r="B859" s="333"/>
      <c r="C859" s="333"/>
    </row>
    <row r="860">
      <c r="B860" s="333"/>
      <c r="C860" s="333"/>
    </row>
    <row r="861">
      <c r="B861" s="333"/>
      <c r="C861" s="333"/>
    </row>
    <row r="862">
      <c r="B862" s="333"/>
      <c r="C862" s="333"/>
    </row>
    <row r="863">
      <c r="B863" s="333"/>
      <c r="C863" s="333"/>
    </row>
    <row r="864">
      <c r="B864" s="333"/>
      <c r="C864" s="333"/>
    </row>
    <row r="865">
      <c r="B865" s="333"/>
      <c r="C865" s="333"/>
    </row>
    <row r="866">
      <c r="B866" s="333"/>
      <c r="C866" s="333"/>
    </row>
    <row r="867">
      <c r="B867" s="333"/>
      <c r="C867" s="333"/>
    </row>
    <row r="868">
      <c r="B868" s="333"/>
      <c r="C868" s="333"/>
    </row>
    <row r="869">
      <c r="B869" s="333"/>
      <c r="C869" s="333"/>
    </row>
    <row r="870">
      <c r="B870" s="333"/>
      <c r="C870" s="333"/>
    </row>
    <row r="871">
      <c r="B871" s="333"/>
      <c r="C871" s="333"/>
    </row>
    <row r="872">
      <c r="B872" s="333"/>
      <c r="C872" s="333"/>
    </row>
    <row r="873">
      <c r="B873" s="333"/>
      <c r="C873" s="333"/>
    </row>
    <row r="874">
      <c r="B874" s="333"/>
      <c r="C874" s="333"/>
    </row>
    <row r="875">
      <c r="B875" s="333"/>
      <c r="C875" s="333"/>
    </row>
    <row r="876">
      <c r="B876" s="333"/>
      <c r="C876" s="333"/>
    </row>
    <row r="877">
      <c r="B877" s="333"/>
      <c r="C877" s="333"/>
    </row>
    <row r="878">
      <c r="B878" s="333"/>
      <c r="C878" s="333"/>
    </row>
    <row r="879">
      <c r="B879" s="333"/>
      <c r="C879" s="333"/>
    </row>
    <row r="880">
      <c r="B880" s="333"/>
      <c r="C880" s="333"/>
    </row>
    <row r="881">
      <c r="B881" s="333"/>
      <c r="C881" s="333"/>
    </row>
    <row r="882">
      <c r="B882" s="333"/>
      <c r="C882" s="333"/>
    </row>
    <row r="883">
      <c r="B883" s="333"/>
      <c r="C883" s="333"/>
    </row>
    <row r="884">
      <c r="B884" s="333"/>
      <c r="C884" s="333"/>
    </row>
    <row r="885">
      <c r="B885" s="333"/>
      <c r="C885" s="333"/>
    </row>
    <row r="886">
      <c r="B886" s="333"/>
      <c r="C886" s="333"/>
    </row>
    <row r="887">
      <c r="B887" s="333"/>
      <c r="C887" s="333"/>
    </row>
    <row r="888">
      <c r="B888" s="333"/>
      <c r="C888" s="333"/>
    </row>
    <row r="889">
      <c r="B889" s="333"/>
      <c r="C889" s="333"/>
    </row>
    <row r="890">
      <c r="B890" s="333"/>
      <c r="C890" s="333"/>
    </row>
    <row r="891">
      <c r="B891" s="333"/>
      <c r="C891" s="333"/>
    </row>
    <row r="892">
      <c r="B892" s="333"/>
      <c r="C892" s="333"/>
    </row>
    <row r="893">
      <c r="B893" s="333"/>
      <c r="C893" s="333"/>
    </row>
    <row r="894">
      <c r="B894" s="333"/>
      <c r="C894" s="333"/>
    </row>
    <row r="895">
      <c r="B895" s="333"/>
      <c r="C895" s="333"/>
    </row>
    <row r="896">
      <c r="B896" s="333"/>
      <c r="C896" s="333"/>
    </row>
    <row r="897">
      <c r="B897" s="333"/>
      <c r="C897" s="333"/>
    </row>
    <row r="898">
      <c r="B898" s="333"/>
      <c r="C898" s="333"/>
    </row>
    <row r="899">
      <c r="B899" s="333"/>
      <c r="C899" s="333"/>
    </row>
    <row r="900">
      <c r="B900" s="333"/>
      <c r="C900" s="333"/>
    </row>
    <row r="901">
      <c r="B901" s="333"/>
      <c r="C901" s="333"/>
    </row>
    <row r="902">
      <c r="B902" s="333"/>
      <c r="C902" s="333"/>
    </row>
    <row r="903">
      <c r="B903" s="333"/>
      <c r="C903" s="333"/>
    </row>
    <row r="904">
      <c r="B904" s="333"/>
      <c r="C904" s="333"/>
    </row>
    <row r="905">
      <c r="B905" s="333"/>
      <c r="C905" s="333"/>
    </row>
    <row r="906">
      <c r="B906" s="333"/>
      <c r="C906" s="333"/>
    </row>
    <row r="907">
      <c r="B907" s="333"/>
      <c r="C907" s="333"/>
    </row>
    <row r="908">
      <c r="B908" s="333"/>
      <c r="C908" s="333"/>
    </row>
    <row r="909">
      <c r="B909" s="333"/>
      <c r="C909" s="333"/>
    </row>
    <row r="910">
      <c r="B910" s="333"/>
      <c r="C910" s="333"/>
    </row>
    <row r="911">
      <c r="B911" s="333"/>
      <c r="C911" s="333"/>
    </row>
    <row r="912">
      <c r="B912" s="333"/>
      <c r="C912" s="333"/>
    </row>
    <row r="913">
      <c r="B913" s="333"/>
      <c r="C913" s="333"/>
    </row>
    <row r="914">
      <c r="B914" s="333"/>
      <c r="C914" s="333"/>
    </row>
    <row r="915">
      <c r="B915" s="333"/>
      <c r="C915" s="333"/>
    </row>
    <row r="916">
      <c r="B916" s="333"/>
      <c r="C916" s="333"/>
    </row>
    <row r="917">
      <c r="B917" s="333"/>
      <c r="C917" s="333"/>
    </row>
    <row r="918">
      <c r="B918" s="333"/>
      <c r="C918" s="333"/>
    </row>
    <row r="919">
      <c r="B919" s="333"/>
      <c r="C919" s="333"/>
    </row>
    <row r="920">
      <c r="B920" s="333"/>
      <c r="C920" s="333"/>
    </row>
    <row r="921">
      <c r="B921" s="333"/>
      <c r="C921" s="333"/>
    </row>
    <row r="922">
      <c r="B922" s="333"/>
      <c r="C922" s="333"/>
    </row>
    <row r="923">
      <c r="B923" s="333"/>
      <c r="C923" s="333"/>
    </row>
    <row r="924">
      <c r="B924" s="333"/>
      <c r="C924" s="333"/>
    </row>
    <row r="925">
      <c r="B925" s="333"/>
      <c r="C925" s="333"/>
    </row>
    <row r="926">
      <c r="B926" s="333"/>
      <c r="C926" s="333"/>
    </row>
    <row r="927">
      <c r="B927" s="333"/>
      <c r="C927" s="333"/>
    </row>
    <row r="928">
      <c r="B928" s="333"/>
      <c r="C928" s="333"/>
    </row>
    <row r="929">
      <c r="B929" s="333"/>
      <c r="C929" s="333"/>
    </row>
    <row r="930">
      <c r="B930" s="333"/>
      <c r="C930" s="333"/>
    </row>
    <row r="931">
      <c r="B931" s="333"/>
      <c r="C931" s="333"/>
    </row>
    <row r="932">
      <c r="B932" s="333"/>
      <c r="C932" s="333"/>
    </row>
    <row r="933">
      <c r="B933" s="333"/>
      <c r="C933" s="333"/>
    </row>
    <row r="934">
      <c r="B934" s="333"/>
      <c r="C934" s="333"/>
    </row>
    <row r="935">
      <c r="B935" s="333"/>
      <c r="C935" s="333"/>
    </row>
    <row r="936">
      <c r="B936" s="333"/>
      <c r="C936" s="333"/>
    </row>
    <row r="937">
      <c r="B937" s="333"/>
      <c r="C937" s="333"/>
    </row>
    <row r="938">
      <c r="B938" s="333"/>
      <c r="C938" s="333"/>
    </row>
    <row r="939">
      <c r="B939" s="333"/>
      <c r="C939" s="333"/>
    </row>
    <row r="940">
      <c r="B940" s="333"/>
      <c r="C940" s="333"/>
    </row>
    <row r="941">
      <c r="B941" s="333"/>
      <c r="C941" s="333"/>
    </row>
    <row r="942">
      <c r="B942" s="333"/>
      <c r="C942" s="333"/>
    </row>
    <row r="943">
      <c r="B943" s="333"/>
      <c r="C943" s="333"/>
    </row>
    <row r="944">
      <c r="B944" s="333"/>
      <c r="C944" s="333"/>
    </row>
    <row r="945">
      <c r="B945" s="333"/>
      <c r="C945" s="333"/>
    </row>
    <row r="946">
      <c r="B946" s="333"/>
      <c r="C946" s="333"/>
    </row>
    <row r="947">
      <c r="B947" s="333"/>
      <c r="C947" s="333"/>
    </row>
    <row r="948">
      <c r="B948" s="333"/>
      <c r="C948" s="333"/>
    </row>
    <row r="949">
      <c r="B949" s="333"/>
      <c r="C949" s="333"/>
    </row>
    <row r="950">
      <c r="B950" s="333"/>
      <c r="C950" s="333"/>
    </row>
    <row r="951">
      <c r="B951" s="333"/>
      <c r="C951" s="333"/>
    </row>
    <row r="952">
      <c r="B952" s="333"/>
      <c r="C952" s="333"/>
    </row>
    <row r="953">
      <c r="B953" s="333"/>
      <c r="C953" s="333"/>
    </row>
    <row r="954">
      <c r="B954" s="333"/>
      <c r="C954" s="333"/>
    </row>
    <row r="955">
      <c r="B955" s="333"/>
      <c r="C955" s="333"/>
    </row>
    <row r="956">
      <c r="B956" s="333"/>
      <c r="C956" s="333"/>
    </row>
    <row r="957">
      <c r="B957" s="333"/>
      <c r="C957" s="333"/>
    </row>
    <row r="958">
      <c r="B958" s="333"/>
      <c r="C958" s="333"/>
    </row>
    <row r="959">
      <c r="B959" s="333"/>
      <c r="C959" s="333"/>
    </row>
    <row r="960">
      <c r="B960" s="333"/>
      <c r="C960" s="333"/>
    </row>
    <row r="961">
      <c r="B961" s="333"/>
      <c r="C961" s="333"/>
    </row>
    <row r="962">
      <c r="B962" s="333"/>
      <c r="C962" s="333"/>
    </row>
    <row r="963">
      <c r="B963" s="333"/>
      <c r="C963" s="333"/>
    </row>
    <row r="964">
      <c r="B964" s="333"/>
      <c r="C964" s="333"/>
    </row>
    <row r="965">
      <c r="B965" s="333"/>
      <c r="C965" s="333"/>
    </row>
    <row r="966">
      <c r="B966" s="333"/>
      <c r="C966" s="333"/>
    </row>
    <row r="967">
      <c r="B967" s="333"/>
      <c r="C967" s="333"/>
    </row>
    <row r="968">
      <c r="B968" s="333"/>
      <c r="C968" s="333"/>
    </row>
    <row r="969">
      <c r="B969" s="333"/>
      <c r="C969" s="333"/>
    </row>
    <row r="970">
      <c r="B970" s="333"/>
      <c r="C970" s="333"/>
    </row>
    <row r="971">
      <c r="B971" s="333"/>
      <c r="C971" s="333"/>
    </row>
    <row r="972">
      <c r="B972" s="333"/>
      <c r="C972" s="333"/>
    </row>
    <row r="973">
      <c r="B973" s="333"/>
      <c r="C973" s="333"/>
    </row>
    <row r="974">
      <c r="B974" s="333"/>
      <c r="C974" s="333"/>
    </row>
    <row r="975">
      <c r="B975" s="333"/>
      <c r="C975" s="333"/>
    </row>
    <row r="976">
      <c r="B976" s="333"/>
      <c r="C976" s="333"/>
    </row>
    <row r="977">
      <c r="B977" s="333"/>
      <c r="C977" s="333"/>
    </row>
    <row r="978">
      <c r="B978" s="333"/>
      <c r="C978" s="333"/>
    </row>
    <row r="979">
      <c r="B979" s="333"/>
      <c r="C979" s="333"/>
    </row>
    <row r="980">
      <c r="B980" s="333"/>
      <c r="C980" s="333"/>
    </row>
    <row r="981">
      <c r="B981" s="333"/>
      <c r="C981" s="333"/>
    </row>
    <row r="982">
      <c r="B982" s="333"/>
      <c r="C982" s="333"/>
    </row>
    <row r="983">
      <c r="B983" s="333"/>
      <c r="C983" s="333"/>
    </row>
    <row r="984">
      <c r="B984" s="333"/>
      <c r="C984" s="333"/>
    </row>
    <row r="985">
      <c r="B985" s="333"/>
      <c r="C985" s="333"/>
    </row>
    <row r="986">
      <c r="B986" s="333"/>
      <c r="C986" s="333"/>
    </row>
    <row r="987">
      <c r="B987" s="333"/>
      <c r="C987" s="333"/>
    </row>
    <row r="988">
      <c r="B988" s="333"/>
      <c r="C988" s="333"/>
    </row>
    <row r="989">
      <c r="B989" s="333"/>
      <c r="C989" s="333"/>
    </row>
    <row r="990">
      <c r="B990" s="333"/>
      <c r="C990" s="333"/>
    </row>
    <row r="991">
      <c r="B991" s="333"/>
      <c r="C991" s="333"/>
    </row>
    <row r="992">
      <c r="B992" s="333"/>
      <c r="C992" s="333"/>
    </row>
    <row r="993">
      <c r="B993" s="333"/>
      <c r="C993" s="333"/>
    </row>
    <row r="994">
      <c r="B994" s="333"/>
      <c r="C994" s="333"/>
    </row>
    <row r="995">
      <c r="B995" s="333"/>
      <c r="C995" s="333"/>
    </row>
    <row r="996">
      <c r="B996" s="333"/>
      <c r="C996" s="333"/>
    </row>
    <row r="997">
      <c r="B997" s="333"/>
      <c r="C997" s="333"/>
    </row>
    <row r="998">
      <c r="B998" s="333"/>
      <c r="C998" s="333"/>
    </row>
    <row r="999">
      <c r="B999" s="333"/>
      <c r="C999" s="333"/>
    </row>
    <row r="1000">
      <c r="B1000" s="333"/>
      <c r="C1000" s="333"/>
    </row>
  </sheetData>
  <mergeCells count="3">
    <mergeCell ref="A57:D57"/>
    <mergeCell ref="A86:D86"/>
    <mergeCell ref="A126:D12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88"/>
  </cols>
  <sheetData>
    <row r="2">
      <c r="A2" s="222" t="s">
        <v>716</v>
      </c>
      <c r="B2" s="348">
        <v>118.0</v>
      </c>
      <c r="C2" s="222" t="s">
        <v>717</v>
      </c>
      <c r="D2" s="222">
        <v>0.8</v>
      </c>
    </row>
    <row r="3">
      <c r="A3" s="222" t="s">
        <v>718</v>
      </c>
      <c r="B3" s="349">
        <f>B2/1.18</f>
        <v>100</v>
      </c>
      <c r="C3" s="222" t="s">
        <v>719</v>
      </c>
      <c r="D3" s="223">
        <f>D2*0.1</f>
        <v>0.08</v>
      </c>
    </row>
    <row r="4">
      <c r="A4" s="222" t="s">
        <v>719</v>
      </c>
      <c r="B4" s="349">
        <f>(B3*0.1)</f>
        <v>10</v>
      </c>
      <c r="C4" s="222" t="s">
        <v>720</v>
      </c>
      <c r="D4" s="223">
        <f>D2+D3</f>
        <v>0.88</v>
      </c>
    </row>
    <row r="5">
      <c r="A5" s="222" t="s">
        <v>721</v>
      </c>
      <c r="B5" s="349">
        <f>B3-B4</f>
        <v>90</v>
      </c>
      <c r="C5" s="222" t="s">
        <v>722</v>
      </c>
      <c r="D5" s="223">
        <f>D4*0.18</f>
        <v>0.1584</v>
      </c>
    </row>
    <row r="7">
      <c r="C7" s="222" t="s">
        <v>723</v>
      </c>
      <c r="D7" s="223">
        <f>D4+D5</f>
        <v>1.0384</v>
      </c>
    </row>
    <row r="13">
      <c r="A13" s="222" t="s">
        <v>724</v>
      </c>
    </row>
    <row r="14">
      <c r="A14" s="222" t="s">
        <v>725</v>
      </c>
    </row>
    <row r="15">
      <c r="A15" s="222" t="s">
        <v>726</v>
      </c>
    </row>
    <row r="16">
      <c r="A16" s="222" t="s">
        <v>727</v>
      </c>
    </row>
    <row r="17">
      <c r="A17" s="222" t="s">
        <v>728</v>
      </c>
    </row>
    <row r="18">
      <c r="A18" s="222" t="s">
        <v>729</v>
      </c>
    </row>
    <row r="19">
      <c r="A19" s="222" t="s">
        <v>730</v>
      </c>
    </row>
    <row r="20">
      <c r="A20" s="222" t="s">
        <v>731</v>
      </c>
    </row>
    <row r="21">
      <c r="A21" s="222" t="s">
        <v>732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9.38"/>
    <col customWidth="1" min="3" max="3" width="17.25"/>
    <col customWidth="1" min="4" max="4" width="24.25"/>
    <col customWidth="1" min="5" max="5" width="16.5"/>
    <col customWidth="1" min="6" max="6" width="32.75"/>
    <col customWidth="1" min="7" max="7" width="35.75"/>
    <col customWidth="1" hidden="1" min="8" max="8" width="52.75"/>
  </cols>
  <sheetData>
    <row r="1">
      <c r="A1" s="350"/>
      <c r="B1" s="351" t="s">
        <v>733</v>
      </c>
      <c r="C1" s="351" t="s">
        <v>734</v>
      </c>
      <c r="D1" s="352" t="s">
        <v>735</v>
      </c>
      <c r="E1" s="353" t="s">
        <v>736</v>
      </c>
      <c r="F1" s="353" t="s">
        <v>737</v>
      </c>
      <c r="G1" s="353" t="s">
        <v>738</v>
      </c>
      <c r="H1" s="354" t="s">
        <v>739</v>
      </c>
      <c r="I1" s="355" t="s">
        <v>740</v>
      </c>
      <c r="J1" s="4"/>
      <c r="K1" s="4"/>
    </row>
    <row r="2">
      <c r="A2" s="356" t="s">
        <v>741</v>
      </c>
      <c r="B2" s="357" t="s">
        <v>742</v>
      </c>
      <c r="C2" s="358" t="s">
        <v>743</v>
      </c>
      <c r="D2" s="359" t="s">
        <v>744</v>
      </c>
      <c r="E2" s="360" t="s">
        <v>745</v>
      </c>
      <c r="F2" s="360" t="s">
        <v>746</v>
      </c>
      <c r="G2" s="361" t="s">
        <v>747</v>
      </c>
      <c r="H2" s="362" t="s">
        <v>748</v>
      </c>
      <c r="I2" s="363" t="b">
        <v>0</v>
      </c>
      <c r="J2" s="4"/>
      <c r="K2" s="4"/>
    </row>
    <row r="3">
      <c r="B3" s="364"/>
      <c r="C3" s="365"/>
      <c r="D3" s="366"/>
      <c r="E3" s="367"/>
      <c r="F3" s="368"/>
      <c r="G3" s="369" t="s">
        <v>749</v>
      </c>
      <c r="H3" s="370"/>
      <c r="I3" s="371" t="b">
        <v>0</v>
      </c>
      <c r="J3" s="4"/>
      <c r="K3" s="4"/>
    </row>
    <row r="4">
      <c r="B4" s="364"/>
      <c r="C4" s="365"/>
      <c r="D4" s="366"/>
      <c r="E4" s="367"/>
      <c r="F4" s="360" t="s">
        <v>750</v>
      </c>
      <c r="G4" s="372" t="s">
        <v>751</v>
      </c>
      <c r="H4" s="370"/>
      <c r="I4" s="363" t="b">
        <v>0</v>
      </c>
      <c r="J4" s="4"/>
      <c r="K4" s="4"/>
    </row>
    <row r="5">
      <c r="B5" s="364"/>
      <c r="C5" s="365"/>
      <c r="D5" s="366"/>
      <c r="E5" s="367"/>
      <c r="F5" s="367"/>
      <c r="G5" s="372" t="s">
        <v>752</v>
      </c>
      <c r="H5" s="370"/>
      <c r="I5" s="373" t="b">
        <v>0</v>
      </c>
      <c r="J5" s="4"/>
      <c r="K5" s="4"/>
    </row>
    <row r="6">
      <c r="B6" s="364"/>
      <c r="C6" s="365"/>
      <c r="D6" s="366"/>
      <c r="E6" s="368"/>
      <c r="F6" s="368"/>
      <c r="G6" s="369" t="s">
        <v>753</v>
      </c>
      <c r="H6" s="370"/>
      <c r="I6" s="374" t="b">
        <v>0</v>
      </c>
      <c r="J6" s="4"/>
      <c r="K6" s="4"/>
    </row>
    <row r="7">
      <c r="B7" s="364"/>
      <c r="C7" s="365"/>
      <c r="D7" s="366"/>
      <c r="E7" s="375" t="s">
        <v>754</v>
      </c>
      <c r="F7" s="376" t="s">
        <v>51</v>
      </c>
      <c r="G7" s="377" t="s">
        <v>51</v>
      </c>
      <c r="H7" s="370"/>
      <c r="I7" s="378" t="b">
        <v>0</v>
      </c>
      <c r="J7" s="4"/>
      <c r="K7" s="4"/>
    </row>
    <row r="8">
      <c r="B8" s="364"/>
      <c r="C8" s="365"/>
      <c r="D8" s="366"/>
      <c r="E8" s="376" t="s">
        <v>755</v>
      </c>
      <c r="F8" s="360" t="s">
        <v>750</v>
      </c>
      <c r="G8" s="361" t="s">
        <v>751</v>
      </c>
      <c r="H8" s="370"/>
      <c r="I8" s="363" t="b">
        <v>0</v>
      </c>
      <c r="J8" s="4"/>
      <c r="K8" s="4"/>
    </row>
    <row r="9">
      <c r="B9" s="364"/>
      <c r="C9" s="365"/>
      <c r="D9" s="366"/>
      <c r="E9" s="379"/>
      <c r="F9" s="367"/>
      <c r="G9" s="372" t="s">
        <v>752</v>
      </c>
      <c r="H9" s="370"/>
      <c r="I9" s="373" t="b">
        <v>0</v>
      </c>
      <c r="J9" s="4"/>
      <c r="K9" s="4"/>
    </row>
    <row r="10">
      <c r="B10" s="364"/>
      <c r="C10" s="20"/>
      <c r="D10" s="366"/>
      <c r="E10" s="380"/>
      <c r="F10" s="368"/>
      <c r="G10" s="369" t="s">
        <v>753</v>
      </c>
      <c r="H10" s="381"/>
      <c r="I10" s="371" t="b">
        <v>0</v>
      </c>
      <c r="J10" s="4"/>
      <c r="K10" s="4"/>
    </row>
    <row r="11">
      <c r="A11" s="356"/>
      <c r="B11" s="364"/>
      <c r="C11" s="4"/>
      <c r="D11" s="382"/>
      <c r="E11" s="383" t="s">
        <v>756</v>
      </c>
      <c r="F11" s="384" t="s">
        <v>757</v>
      </c>
      <c r="G11" s="385" t="s">
        <v>758</v>
      </c>
      <c r="H11" s="386"/>
      <c r="I11" s="387" t="b">
        <v>0</v>
      </c>
      <c r="J11" s="4"/>
      <c r="K11" s="4"/>
    </row>
    <row r="12">
      <c r="A12" s="388"/>
      <c r="B12" s="364"/>
      <c r="C12" s="389"/>
      <c r="D12" s="359" t="s">
        <v>759</v>
      </c>
      <c r="E12" s="390" t="s">
        <v>760</v>
      </c>
      <c r="F12" s="391" t="s">
        <v>761</v>
      </c>
      <c r="G12" s="54"/>
      <c r="H12" s="392"/>
      <c r="I12" s="393" t="b">
        <v>0</v>
      </c>
      <c r="J12" s="4"/>
      <c r="K12" s="4"/>
    </row>
    <row r="13">
      <c r="A13" s="388"/>
      <c r="B13" s="364"/>
      <c r="C13" s="365"/>
      <c r="D13" s="366"/>
      <c r="E13" s="364"/>
      <c r="F13" s="394" t="s">
        <v>762</v>
      </c>
      <c r="G13" s="12"/>
      <c r="H13" s="395"/>
      <c r="I13" s="373" t="b">
        <v>0</v>
      </c>
      <c r="J13" s="4"/>
      <c r="K13" s="4"/>
    </row>
    <row r="14">
      <c r="A14" s="388"/>
      <c r="B14" s="364"/>
      <c r="C14" s="365"/>
      <c r="D14" s="366"/>
      <c r="E14" s="364"/>
      <c r="F14" s="394" t="s">
        <v>763</v>
      </c>
      <c r="G14" s="12"/>
      <c r="H14" s="395"/>
      <c r="I14" s="373" t="b">
        <v>0</v>
      </c>
      <c r="J14" s="4"/>
      <c r="K14" s="4"/>
    </row>
    <row r="15">
      <c r="A15" s="388"/>
      <c r="B15" s="364"/>
      <c r="C15" s="365"/>
      <c r="D15" s="366"/>
      <c r="E15" s="364"/>
      <c r="F15" s="394" t="s">
        <v>764</v>
      </c>
      <c r="G15" s="12"/>
      <c r="H15" s="395"/>
      <c r="I15" s="373" t="b">
        <v>0</v>
      </c>
      <c r="J15" s="4"/>
      <c r="K15" s="4"/>
    </row>
    <row r="16">
      <c r="A16" s="388"/>
      <c r="B16" s="364"/>
      <c r="C16" s="365"/>
      <c r="D16" s="366"/>
      <c r="E16" s="364"/>
      <c r="F16" s="394"/>
      <c r="G16" s="12"/>
      <c r="H16" s="395"/>
      <c r="I16" s="373" t="b">
        <v>0</v>
      </c>
      <c r="J16" s="4"/>
      <c r="K16" s="4"/>
    </row>
    <row r="17">
      <c r="A17" s="388"/>
      <c r="B17" s="364"/>
      <c r="C17" s="396"/>
      <c r="D17" s="366"/>
      <c r="E17" s="397"/>
      <c r="F17" s="398" t="s">
        <v>765</v>
      </c>
      <c r="G17" s="399"/>
      <c r="H17" s="400"/>
      <c r="I17" s="371" t="b">
        <v>0</v>
      </c>
      <c r="J17" s="4"/>
      <c r="K17" s="4"/>
    </row>
    <row r="18">
      <c r="A18" s="388"/>
      <c r="B18" s="364"/>
      <c r="C18" s="389"/>
      <c r="D18" s="366"/>
      <c r="E18" s="390" t="s">
        <v>766</v>
      </c>
      <c r="F18" s="401" t="s">
        <v>767</v>
      </c>
      <c r="G18" s="402"/>
      <c r="H18" s="392"/>
      <c r="I18" s="393" t="b">
        <v>0</v>
      </c>
      <c r="J18" s="4"/>
      <c r="K18" s="4"/>
    </row>
    <row r="19">
      <c r="A19" s="388"/>
      <c r="B19" s="364"/>
      <c r="C19" s="365"/>
      <c r="D19" s="366"/>
      <c r="E19" s="364"/>
      <c r="F19" s="394" t="s">
        <v>768</v>
      </c>
      <c r="G19" s="12"/>
      <c r="H19" s="395"/>
      <c r="I19" s="373" t="b">
        <v>0</v>
      </c>
      <c r="J19" s="4"/>
      <c r="K19" s="4"/>
    </row>
    <row r="20">
      <c r="A20" s="388"/>
      <c r="B20" s="364"/>
      <c r="C20" s="365"/>
      <c r="D20" s="366"/>
      <c r="E20" s="364"/>
      <c r="F20" s="394" t="s">
        <v>769</v>
      </c>
      <c r="G20" s="12"/>
      <c r="H20" s="395"/>
      <c r="I20" s="373" t="b">
        <v>0</v>
      </c>
      <c r="J20" s="4"/>
      <c r="K20" s="4"/>
    </row>
    <row r="21">
      <c r="A21" s="388"/>
      <c r="B21" s="364"/>
      <c r="C21" s="365"/>
      <c r="D21" s="366"/>
      <c r="E21" s="364"/>
      <c r="F21" s="403"/>
      <c r="G21" s="12"/>
      <c r="H21" s="395"/>
      <c r="I21" s="373" t="b">
        <v>0</v>
      </c>
      <c r="J21" s="4"/>
      <c r="K21" s="4"/>
    </row>
    <row r="22">
      <c r="A22" s="388"/>
      <c r="B22" s="364"/>
      <c r="C22" s="396"/>
      <c r="D22" s="366"/>
      <c r="E22" s="397"/>
      <c r="F22" s="398" t="s">
        <v>765</v>
      </c>
      <c r="G22" s="399"/>
      <c r="H22" s="400"/>
      <c r="I22" s="371" t="b">
        <v>0</v>
      </c>
      <c r="J22" s="4"/>
      <c r="K22" s="4"/>
    </row>
    <row r="23">
      <c r="A23" s="388"/>
      <c r="B23" s="364"/>
      <c r="C23" s="389"/>
      <c r="D23" s="366"/>
      <c r="E23" s="404" t="s">
        <v>770</v>
      </c>
      <c r="F23" s="405" t="s">
        <v>771</v>
      </c>
      <c r="G23" s="402"/>
      <c r="H23" s="392"/>
      <c r="I23" s="393" t="b">
        <v>0</v>
      </c>
      <c r="J23" s="4"/>
      <c r="K23" s="4"/>
    </row>
    <row r="24">
      <c r="A24" s="388"/>
      <c r="B24" s="364"/>
      <c r="C24" s="365"/>
      <c r="D24" s="366"/>
      <c r="E24" s="364"/>
      <c r="F24" s="394" t="s">
        <v>772</v>
      </c>
      <c r="G24" s="12"/>
      <c r="H24" s="395"/>
      <c r="I24" s="373" t="b">
        <v>0</v>
      </c>
      <c r="J24" s="4"/>
      <c r="K24" s="4"/>
    </row>
    <row r="25">
      <c r="A25" s="388"/>
      <c r="B25" s="364"/>
      <c r="C25" s="20"/>
      <c r="D25" s="366"/>
      <c r="E25" s="364"/>
      <c r="F25" s="406" t="s">
        <v>773</v>
      </c>
      <c r="G25" s="43"/>
      <c r="H25" s="407"/>
      <c r="I25" s="374" t="b">
        <v>0</v>
      </c>
      <c r="J25" s="4"/>
      <c r="K25" s="4"/>
    </row>
    <row r="26">
      <c r="A26" s="388"/>
      <c r="B26" s="364"/>
      <c r="C26" s="20"/>
      <c r="D26" s="366"/>
      <c r="E26" s="364"/>
      <c r="F26" s="406"/>
      <c r="G26" s="43"/>
      <c r="H26" s="407"/>
      <c r="I26" s="374" t="b">
        <v>0</v>
      </c>
      <c r="J26" s="4"/>
      <c r="K26" s="4"/>
    </row>
    <row r="27">
      <c r="A27" s="388"/>
      <c r="B27" s="364"/>
      <c r="C27" s="396"/>
      <c r="D27" s="382"/>
      <c r="E27" s="397"/>
      <c r="F27" s="398" t="s">
        <v>765</v>
      </c>
      <c r="G27" s="399"/>
      <c r="H27" s="400"/>
      <c r="I27" s="371" t="b">
        <v>0</v>
      </c>
      <c r="J27" s="4"/>
      <c r="K27" s="4"/>
    </row>
    <row r="28">
      <c r="A28" s="356" t="s">
        <v>741</v>
      </c>
      <c r="B28" s="364"/>
      <c r="C28" s="408"/>
      <c r="D28" s="359" t="s">
        <v>774</v>
      </c>
      <c r="E28" s="404" t="s">
        <v>775</v>
      </c>
      <c r="F28" s="360" t="s">
        <v>750</v>
      </c>
      <c r="G28" s="372" t="s">
        <v>751</v>
      </c>
      <c r="H28" s="409"/>
      <c r="I28" s="410" t="b">
        <v>0</v>
      </c>
      <c r="J28" s="4"/>
      <c r="K28" s="4"/>
    </row>
    <row r="29">
      <c r="B29" s="364"/>
      <c r="C29" s="365"/>
      <c r="D29" s="366"/>
      <c r="E29" s="364"/>
      <c r="F29" s="367"/>
      <c r="G29" s="372" t="s">
        <v>752</v>
      </c>
      <c r="H29" s="395"/>
      <c r="I29" s="411" t="b">
        <v>0</v>
      </c>
      <c r="J29" s="4"/>
      <c r="K29" s="4"/>
    </row>
    <row r="30">
      <c r="B30" s="364"/>
      <c r="C30" s="365"/>
      <c r="D30" s="366"/>
      <c r="E30" s="364"/>
      <c r="F30" s="368"/>
      <c r="G30" s="369" t="s">
        <v>753</v>
      </c>
      <c r="H30" s="395"/>
      <c r="I30" s="371" t="b">
        <v>0</v>
      </c>
      <c r="J30" s="4"/>
      <c r="K30" s="4"/>
    </row>
    <row r="31">
      <c r="B31" s="364"/>
      <c r="C31" s="365"/>
      <c r="D31" s="366"/>
      <c r="E31" s="397"/>
      <c r="F31" s="412" t="s">
        <v>776</v>
      </c>
      <c r="G31" s="372" t="s">
        <v>777</v>
      </c>
      <c r="H31" s="395"/>
      <c r="I31" s="374" t="b">
        <v>0</v>
      </c>
      <c r="J31" s="4"/>
      <c r="K31" s="4"/>
    </row>
    <row r="32">
      <c r="B32" s="364"/>
      <c r="C32" s="365"/>
      <c r="D32" s="366"/>
      <c r="E32" s="404" t="s">
        <v>778</v>
      </c>
      <c r="F32" s="413" t="s">
        <v>750</v>
      </c>
      <c r="G32" s="414" t="s">
        <v>751</v>
      </c>
      <c r="H32" s="395"/>
      <c r="I32" s="411" t="b">
        <v>0</v>
      </c>
      <c r="J32" s="4"/>
      <c r="K32" s="4"/>
    </row>
    <row r="33">
      <c r="B33" s="364"/>
      <c r="C33" s="20"/>
      <c r="D33" s="366"/>
      <c r="E33" s="364"/>
      <c r="F33" s="367"/>
      <c r="G33" s="415" t="s">
        <v>752</v>
      </c>
      <c r="H33" s="407"/>
      <c r="I33" s="411" t="b">
        <v>0</v>
      </c>
      <c r="J33" s="4"/>
      <c r="K33" s="4"/>
    </row>
    <row r="34">
      <c r="A34" s="356"/>
      <c r="B34" s="364"/>
      <c r="C34" s="4"/>
      <c r="D34" s="366"/>
      <c r="E34" s="397"/>
      <c r="F34" s="368"/>
      <c r="G34" s="416" t="s">
        <v>753</v>
      </c>
      <c r="H34" s="417"/>
      <c r="I34" s="418" t="b">
        <v>0</v>
      </c>
      <c r="J34" s="4"/>
      <c r="K34" s="4"/>
    </row>
    <row r="35">
      <c r="A35" s="356"/>
      <c r="B35" s="364"/>
      <c r="C35" s="4"/>
      <c r="D35" s="419"/>
      <c r="E35" s="383" t="s">
        <v>756</v>
      </c>
      <c r="F35" s="375" t="s">
        <v>757</v>
      </c>
      <c r="G35" s="385" t="s">
        <v>758</v>
      </c>
      <c r="H35" s="417"/>
      <c r="I35" s="410" t="b">
        <v>0</v>
      </c>
      <c r="J35" s="4"/>
      <c r="K35" s="4"/>
    </row>
    <row r="36">
      <c r="A36" s="388"/>
      <c r="B36" s="364"/>
      <c r="C36" s="420" t="s">
        <v>779</v>
      </c>
      <c r="D36" s="421" t="s">
        <v>780</v>
      </c>
      <c r="E36" s="390" t="s">
        <v>781</v>
      </c>
      <c r="F36" s="422"/>
      <c r="G36" s="402"/>
      <c r="H36" s="423" t="s">
        <v>782</v>
      </c>
      <c r="I36" s="393" t="b">
        <v>0</v>
      </c>
      <c r="J36" s="4"/>
      <c r="K36" s="4"/>
    </row>
    <row r="37">
      <c r="A37" s="388"/>
      <c r="B37" s="364"/>
      <c r="C37" s="365"/>
      <c r="D37" s="366"/>
      <c r="E37" s="364"/>
      <c r="F37" s="403"/>
      <c r="G37" s="12"/>
      <c r="H37" s="395"/>
      <c r="I37" s="373" t="b">
        <v>0</v>
      </c>
      <c r="J37" s="4"/>
      <c r="K37" s="4"/>
    </row>
    <row r="38">
      <c r="A38" s="388"/>
      <c r="B38" s="364"/>
      <c r="C38" s="396"/>
      <c r="D38" s="366"/>
      <c r="E38" s="397"/>
      <c r="F38" s="398"/>
      <c r="G38" s="399"/>
      <c r="H38" s="400"/>
      <c r="I38" s="371" t="b">
        <v>0</v>
      </c>
      <c r="J38" s="4"/>
      <c r="K38" s="4"/>
    </row>
    <row r="39">
      <c r="A39" s="388"/>
      <c r="B39" s="364"/>
      <c r="C39" s="408"/>
      <c r="D39" s="366"/>
      <c r="E39" s="390" t="s">
        <v>783</v>
      </c>
      <c r="F39" s="391"/>
      <c r="G39" s="54"/>
      <c r="H39" s="409"/>
      <c r="I39" s="363" t="b">
        <v>0</v>
      </c>
      <c r="J39" s="4"/>
      <c r="K39" s="4"/>
    </row>
    <row r="40">
      <c r="A40" s="388"/>
      <c r="B40" s="364"/>
      <c r="C40" s="365"/>
      <c r="D40" s="366"/>
      <c r="E40" s="364"/>
      <c r="F40" s="403"/>
      <c r="G40" s="12"/>
      <c r="H40" s="395"/>
      <c r="I40" s="373" t="b">
        <v>0</v>
      </c>
      <c r="J40" s="4"/>
      <c r="K40" s="4"/>
    </row>
    <row r="41">
      <c r="A41" s="388"/>
      <c r="B41" s="364"/>
      <c r="C41" s="20"/>
      <c r="D41" s="366"/>
      <c r="E41" s="364"/>
      <c r="F41" s="424"/>
      <c r="G41" s="43"/>
      <c r="H41" s="407"/>
      <c r="I41" s="374" t="b">
        <v>0</v>
      </c>
      <c r="J41" s="4"/>
      <c r="K41" s="4"/>
    </row>
    <row r="42">
      <c r="A42" s="388"/>
      <c r="B42" s="364"/>
      <c r="C42" s="20"/>
      <c r="D42" s="366"/>
      <c r="E42" s="364"/>
      <c r="F42" s="424"/>
      <c r="G42" s="43"/>
      <c r="H42" s="407"/>
      <c r="I42" s="374" t="b">
        <v>0</v>
      </c>
      <c r="J42" s="4"/>
      <c r="K42" s="4"/>
    </row>
    <row r="43">
      <c r="A43" s="388"/>
      <c r="B43" s="364"/>
      <c r="C43" s="20"/>
      <c r="D43" s="366"/>
      <c r="E43" s="364"/>
      <c r="F43" s="424"/>
      <c r="G43" s="43"/>
      <c r="H43" s="407"/>
      <c r="I43" s="374" t="b">
        <v>0</v>
      </c>
      <c r="J43" s="4"/>
      <c r="K43" s="4"/>
    </row>
    <row r="44">
      <c r="A44" s="388"/>
      <c r="B44" s="397"/>
      <c r="C44" s="396"/>
      <c r="D44" s="382"/>
      <c r="E44" s="397"/>
      <c r="F44" s="398"/>
      <c r="G44" s="399"/>
      <c r="H44" s="400"/>
      <c r="I44" s="371" t="b">
        <v>0</v>
      </c>
      <c r="J44" s="4"/>
      <c r="K44" s="4"/>
    </row>
    <row r="45">
      <c r="A45" s="425"/>
      <c r="B45" s="357" t="s">
        <v>784</v>
      </c>
      <c r="C45" s="426"/>
      <c r="D45" s="427" t="s">
        <v>785</v>
      </c>
      <c r="E45" s="404" t="s">
        <v>786</v>
      </c>
      <c r="F45" s="428" t="s">
        <v>761</v>
      </c>
      <c r="G45" s="402"/>
      <c r="H45" s="423" t="s">
        <v>787</v>
      </c>
      <c r="I45" s="393" t="b">
        <v>0</v>
      </c>
      <c r="J45" s="4"/>
      <c r="K45" s="4"/>
    </row>
    <row r="46">
      <c r="A46" s="425"/>
      <c r="B46" s="364"/>
      <c r="C46" s="429"/>
      <c r="D46" s="364"/>
      <c r="E46" s="364"/>
      <c r="F46" s="430" t="s">
        <v>762</v>
      </c>
      <c r="G46" s="12" t="s">
        <v>788</v>
      </c>
      <c r="H46" s="395"/>
      <c r="I46" s="373" t="b">
        <v>0</v>
      </c>
      <c r="J46" s="4"/>
      <c r="K46" s="4"/>
    </row>
    <row r="47">
      <c r="A47" s="425"/>
      <c r="B47" s="364"/>
      <c r="C47" s="429"/>
      <c r="D47" s="364"/>
      <c r="E47" s="364"/>
      <c r="F47" s="430" t="s">
        <v>763</v>
      </c>
      <c r="G47" s="12" t="s">
        <v>789</v>
      </c>
      <c r="H47" s="395"/>
      <c r="I47" s="373" t="b">
        <v>0</v>
      </c>
      <c r="J47" s="4"/>
      <c r="K47" s="4"/>
    </row>
    <row r="48">
      <c r="A48" s="425"/>
      <c r="B48" s="364"/>
      <c r="C48" s="429"/>
      <c r="D48" s="364"/>
      <c r="E48" s="364"/>
      <c r="F48" s="430" t="s">
        <v>764</v>
      </c>
      <c r="G48" s="43"/>
      <c r="H48" s="407"/>
      <c r="I48" s="374" t="b">
        <v>0</v>
      </c>
      <c r="J48" s="4"/>
      <c r="K48" s="4"/>
    </row>
    <row r="49">
      <c r="A49" s="425"/>
      <c r="B49" s="364"/>
      <c r="C49" s="429"/>
      <c r="D49" s="364"/>
      <c r="E49" s="364"/>
      <c r="F49" s="430"/>
      <c r="G49" s="43"/>
      <c r="H49" s="407"/>
      <c r="I49" s="374" t="b">
        <v>0</v>
      </c>
      <c r="J49" s="4"/>
      <c r="K49" s="4"/>
    </row>
    <row r="50">
      <c r="A50" s="425"/>
      <c r="B50" s="364"/>
      <c r="C50" s="429"/>
      <c r="D50" s="364"/>
      <c r="E50" s="397"/>
      <c r="F50" s="431" t="s">
        <v>765</v>
      </c>
      <c r="G50" s="399" t="s">
        <v>790</v>
      </c>
      <c r="H50" s="400"/>
      <c r="I50" s="371" t="b">
        <v>0</v>
      </c>
      <c r="J50" s="4"/>
      <c r="K50" s="4"/>
    </row>
    <row r="51">
      <c r="A51" s="425"/>
      <c r="B51" s="364"/>
      <c r="C51" s="429"/>
      <c r="D51" s="364"/>
      <c r="E51" s="432" t="s">
        <v>791</v>
      </c>
      <c r="F51" s="433" t="s">
        <v>767</v>
      </c>
      <c r="G51" s="434" t="s">
        <v>792</v>
      </c>
      <c r="H51" s="409"/>
      <c r="I51" s="363" t="b">
        <v>0</v>
      </c>
      <c r="J51" s="4"/>
      <c r="K51" s="4"/>
    </row>
    <row r="52">
      <c r="A52" s="425"/>
      <c r="B52" s="364"/>
      <c r="C52" s="429"/>
      <c r="D52" s="364"/>
      <c r="E52" s="364"/>
      <c r="F52" s="430" t="s">
        <v>768</v>
      </c>
      <c r="G52" s="435"/>
      <c r="H52" s="395"/>
      <c r="I52" s="373" t="b">
        <v>0</v>
      </c>
      <c r="J52" s="4"/>
      <c r="K52" s="4"/>
    </row>
    <row r="53">
      <c r="A53" s="425"/>
      <c r="B53" s="364"/>
      <c r="C53" s="429"/>
      <c r="D53" s="364"/>
      <c r="E53" s="364"/>
      <c r="F53" s="430" t="s">
        <v>769</v>
      </c>
      <c r="G53" s="436"/>
      <c r="H53" s="407"/>
      <c r="I53" s="374" t="b">
        <v>0</v>
      </c>
      <c r="J53" s="4"/>
      <c r="K53" s="4"/>
    </row>
    <row r="54">
      <c r="A54" s="425"/>
      <c r="B54" s="364"/>
      <c r="C54" s="429"/>
      <c r="D54" s="364"/>
      <c r="E54" s="364"/>
      <c r="F54" s="433"/>
      <c r="G54" s="436"/>
      <c r="H54" s="407"/>
      <c r="I54" s="374" t="b">
        <v>0</v>
      </c>
      <c r="J54" s="4"/>
      <c r="K54" s="4"/>
    </row>
    <row r="55">
      <c r="A55" s="425"/>
      <c r="B55" s="364"/>
      <c r="C55" s="429"/>
      <c r="D55" s="364"/>
      <c r="E55" s="364"/>
      <c r="F55" s="431" t="s">
        <v>765</v>
      </c>
      <c r="G55" s="436"/>
      <c r="H55" s="407"/>
      <c r="I55" s="374" t="b">
        <v>0</v>
      </c>
      <c r="J55" s="4"/>
      <c r="K55" s="4"/>
    </row>
    <row r="56">
      <c r="A56" s="425"/>
      <c r="B56" s="364"/>
      <c r="C56" s="429"/>
      <c r="D56" s="364"/>
      <c r="E56" s="397"/>
      <c r="F56" s="437"/>
      <c r="G56" s="438"/>
      <c r="H56" s="400"/>
      <c r="I56" s="371" t="b">
        <v>0</v>
      </c>
      <c r="J56" s="4"/>
      <c r="K56" s="4"/>
    </row>
    <row r="57">
      <c r="A57" s="425"/>
      <c r="B57" s="364"/>
      <c r="C57" s="429"/>
      <c r="D57" s="364"/>
      <c r="E57" s="439" t="s">
        <v>770</v>
      </c>
      <c r="F57" s="440"/>
      <c r="G57" s="441"/>
      <c r="H57" s="417"/>
      <c r="I57" s="387" t="b">
        <v>0</v>
      </c>
      <c r="J57" s="4"/>
      <c r="K57" s="4"/>
    </row>
    <row r="58">
      <c r="A58" s="425"/>
      <c r="B58" s="364"/>
      <c r="C58" s="429"/>
      <c r="D58" s="364"/>
      <c r="E58" s="364"/>
      <c r="F58" s="442"/>
      <c r="G58" s="436"/>
      <c r="H58" s="407"/>
      <c r="I58" s="374" t="b">
        <v>0</v>
      </c>
      <c r="J58" s="4"/>
      <c r="K58" s="4"/>
    </row>
    <row r="59">
      <c r="A59" s="388" t="s">
        <v>793</v>
      </c>
      <c r="B59" s="364"/>
      <c r="C59" s="429"/>
      <c r="D59" s="397"/>
      <c r="E59" s="397"/>
      <c r="F59" s="443"/>
      <c r="G59" s="399"/>
      <c r="H59" s="400"/>
      <c r="I59" s="371" t="b">
        <v>0</v>
      </c>
      <c r="J59" s="4"/>
      <c r="K59" s="4"/>
    </row>
    <row r="60">
      <c r="A60" s="425"/>
      <c r="B60" s="364"/>
      <c r="C60" s="429"/>
      <c r="D60" s="427" t="s">
        <v>794</v>
      </c>
      <c r="E60" s="444" t="s">
        <v>790</v>
      </c>
      <c r="F60" s="54" t="s">
        <v>795</v>
      </c>
      <c r="G60" s="54" t="s">
        <v>796</v>
      </c>
      <c r="H60" s="409"/>
      <c r="I60" s="363" t="b">
        <v>0</v>
      </c>
      <c r="J60" s="4"/>
      <c r="K60" s="4"/>
    </row>
    <row r="61">
      <c r="A61" s="425"/>
      <c r="B61" s="364"/>
      <c r="C61" s="429"/>
      <c r="D61" s="364"/>
      <c r="E61" s="445"/>
      <c r="F61" s="12" t="s">
        <v>797</v>
      </c>
      <c r="G61" s="12" t="s">
        <v>798</v>
      </c>
      <c r="H61" s="395"/>
      <c r="I61" s="373" t="b">
        <v>0</v>
      </c>
      <c r="J61" s="4"/>
      <c r="K61" s="4"/>
    </row>
    <row r="62">
      <c r="A62" s="425"/>
      <c r="B62" s="364"/>
      <c r="C62" s="429"/>
      <c r="D62" s="364"/>
      <c r="E62" s="445"/>
      <c r="F62" s="12" t="s">
        <v>799</v>
      </c>
      <c r="G62" s="12"/>
      <c r="H62" s="446" t="s">
        <v>800</v>
      </c>
      <c r="I62" s="373" t="b">
        <v>0</v>
      </c>
      <c r="J62" s="4"/>
      <c r="K62" s="4"/>
    </row>
    <row r="63">
      <c r="A63" s="425"/>
      <c r="B63" s="364"/>
      <c r="C63" s="429"/>
      <c r="D63" s="364"/>
      <c r="E63" s="445"/>
      <c r="F63" s="12" t="s">
        <v>801</v>
      </c>
      <c r="G63" s="12" t="s">
        <v>802</v>
      </c>
      <c r="H63" s="395"/>
      <c r="I63" s="373" t="b">
        <v>0</v>
      </c>
      <c r="J63" s="4"/>
      <c r="K63" s="4"/>
    </row>
    <row r="64">
      <c r="A64" s="425"/>
      <c r="B64" s="364"/>
      <c r="C64" s="429"/>
      <c r="D64" s="397"/>
      <c r="E64" s="447"/>
      <c r="F64" s="399" t="s">
        <v>803</v>
      </c>
      <c r="G64" s="399" t="s">
        <v>804</v>
      </c>
      <c r="H64" s="400"/>
      <c r="I64" s="371" t="b">
        <v>0</v>
      </c>
      <c r="J64" s="4"/>
      <c r="K64" s="4"/>
    </row>
    <row r="65">
      <c r="A65" s="425"/>
      <c r="B65" s="364"/>
      <c r="C65" s="429"/>
      <c r="D65" s="448"/>
      <c r="E65" s="449"/>
      <c r="F65" s="54" t="s">
        <v>805</v>
      </c>
      <c r="G65" s="54" t="s">
        <v>806</v>
      </c>
      <c r="H65" s="409"/>
      <c r="I65" s="363" t="b">
        <v>0</v>
      </c>
      <c r="J65" s="4"/>
      <c r="K65" s="4"/>
    </row>
    <row r="66">
      <c r="A66" s="425"/>
      <c r="B66" s="364"/>
      <c r="C66" s="429"/>
      <c r="D66" s="450"/>
      <c r="E66" s="451"/>
      <c r="F66" s="47" t="s">
        <v>758</v>
      </c>
      <c r="G66" s="47"/>
      <c r="H66" s="395"/>
      <c r="I66" s="373" t="b">
        <v>0</v>
      </c>
      <c r="J66" s="4"/>
      <c r="K66" s="4"/>
    </row>
    <row r="67">
      <c r="A67" s="425"/>
      <c r="B67" s="364"/>
      <c r="C67" s="429"/>
      <c r="D67" s="450"/>
      <c r="E67" s="452" t="s">
        <v>807</v>
      </c>
      <c r="F67" s="47" t="s">
        <v>808</v>
      </c>
      <c r="G67" s="47"/>
      <c r="H67" s="395"/>
      <c r="I67" s="373" t="b">
        <v>0</v>
      </c>
      <c r="J67" s="4"/>
      <c r="K67" s="4"/>
    </row>
    <row r="68">
      <c r="A68" s="425"/>
      <c r="B68" s="364"/>
      <c r="C68" s="429"/>
      <c r="D68" s="450"/>
      <c r="E68" s="451"/>
      <c r="F68" s="60"/>
      <c r="G68" s="12"/>
      <c r="H68" s="395"/>
      <c r="I68" s="373" t="b">
        <v>0</v>
      </c>
      <c r="J68" s="4"/>
      <c r="K68" s="4"/>
    </row>
    <row r="69">
      <c r="A69" s="425"/>
      <c r="B69" s="364"/>
      <c r="C69" s="429"/>
      <c r="D69" s="453" t="s">
        <v>809</v>
      </c>
      <c r="E69" s="452" t="s">
        <v>810</v>
      </c>
      <c r="F69" s="12" t="s">
        <v>811</v>
      </c>
      <c r="G69" s="12"/>
      <c r="H69" s="395"/>
      <c r="I69" s="373" t="b">
        <v>0</v>
      </c>
      <c r="J69" s="4"/>
      <c r="K69" s="4"/>
    </row>
    <row r="70">
      <c r="A70" s="425"/>
      <c r="B70" s="364"/>
      <c r="C70" s="429"/>
      <c r="D70" s="450"/>
      <c r="E70" s="452" t="s">
        <v>812</v>
      </c>
      <c r="F70" s="12" t="s">
        <v>813</v>
      </c>
      <c r="G70" s="12"/>
      <c r="H70" s="395"/>
      <c r="I70" s="373" t="b">
        <v>0</v>
      </c>
      <c r="J70" s="4"/>
      <c r="K70" s="4"/>
    </row>
    <row r="71">
      <c r="A71" s="425"/>
      <c r="B71" s="364"/>
      <c r="C71" s="429"/>
      <c r="D71" s="450"/>
      <c r="E71" s="452" t="s">
        <v>812</v>
      </c>
      <c r="F71" s="12" t="s">
        <v>814</v>
      </c>
      <c r="G71" s="12"/>
      <c r="H71" s="395"/>
      <c r="I71" s="373" t="b">
        <v>0</v>
      </c>
      <c r="J71" s="4"/>
      <c r="K71" s="4"/>
    </row>
    <row r="72">
      <c r="A72" s="425"/>
      <c r="B72" s="364"/>
      <c r="C72" s="429"/>
      <c r="D72" s="450"/>
      <c r="E72" s="452" t="s">
        <v>812</v>
      </c>
      <c r="F72" s="12" t="s">
        <v>815</v>
      </c>
      <c r="G72" s="12"/>
      <c r="H72" s="395"/>
      <c r="I72" s="373" t="b">
        <v>0</v>
      </c>
      <c r="J72" s="4"/>
      <c r="K72" s="4"/>
    </row>
    <row r="73">
      <c r="A73" s="425"/>
      <c r="B73" s="364"/>
      <c r="C73" s="429"/>
      <c r="D73" s="450"/>
      <c r="E73" s="452"/>
      <c r="F73" s="12" t="s">
        <v>803</v>
      </c>
      <c r="G73" s="12"/>
      <c r="H73" s="395"/>
      <c r="I73" s="373" t="b">
        <v>0</v>
      </c>
      <c r="J73" s="4"/>
      <c r="K73" s="4"/>
    </row>
    <row r="74">
      <c r="A74" s="425"/>
      <c r="B74" s="364"/>
      <c r="C74" s="429"/>
      <c r="D74" s="450"/>
      <c r="E74" s="451"/>
      <c r="F74" s="12" t="s">
        <v>758</v>
      </c>
      <c r="G74" s="12"/>
      <c r="H74" s="395"/>
      <c r="I74" s="373" t="b">
        <v>0</v>
      </c>
      <c r="J74" s="4"/>
      <c r="K74" s="4"/>
    </row>
    <row r="75">
      <c r="A75" s="425"/>
      <c r="B75" s="364"/>
      <c r="C75" s="429"/>
      <c r="D75" s="450"/>
      <c r="E75" s="452" t="s">
        <v>816</v>
      </c>
      <c r="F75" s="12" t="s">
        <v>808</v>
      </c>
      <c r="G75" s="454"/>
      <c r="H75" s="395"/>
      <c r="I75" s="373" t="b">
        <v>0</v>
      </c>
      <c r="J75" s="4"/>
      <c r="K75" s="4"/>
    </row>
    <row r="76">
      <c r="A76" s="425"/>
      <c r="B76" s="364"/>
      <c r="C76" s="429"/>
      <c r="D76" s="450"/>
      <c r="E76" s="452" t="s">
        <v>816</v>
      </c>
      <c r="F76" s="12" t="s">
        <v>817</v>
      </c>
      <c r="G76" s="12"/>
      <c r="H76" s="395"/>
      <c r="I76" s="373" t="b">
        <v>0</v>
      </c>
      <c r="J76" s="4"/>
      <c r="K76" s="4"/>
    </row>
    <row r="77">
      <c r="A77" s="425"/>
      <c r="B77" s="364"/>
      <c r="C77" s="429"/>
      <c r="D77" s="453" t="s">
        <v>794</v>
      </c>
      <c r="E77" s="452" t="s">
        <v>818</v>
      </c>
      <c r="F77" s="12" t="s">
        <v>819</v>
      </c>
      <c r="G77" s="12"/>
      <c r="H77" s="395"/>
      <c r="I77" s="373" t="b">
        <v>0</v>
      </c>
      <c r="J77" s="4"/>
      <c r="K77" s="4"/>
    </row>
    <row r="78">
      <c r="A78" s="425"/>
      <c r="B78" s="364"/>
      <c r="C78" s="429"/>
      <c r="D78" s="450"/>
      <c r="E78" s="452" t="s">
        <v>818</v>
      </c>
      <c r="F78" s="12" t="s">
        <v>820</v>
      </c>
      <c r="G78" s="12"/>
      <c r="H78" s="395"/>
      <c r="I78" s="373" t="b">
        <v>0</v>
      </c>
      <c r="J78" s="4"/>
      <c r="K78" s="4"/>
    </row>
    <row r="79">
      <c r="A79" s="425"/>
      <c r="B79" s="364"/>
      <c r="C79" s="429"/>
      <c r="D79" s="450"/>
      <c r="E79" s="452" t="s">
        <v>818</v>
      </c>
      <c r="F79" s="12" t="s">
        <v>821</v>
      </c>
      <c r="G79" s="12"/>
      <c r="H79" s="395"/>
      <c r="I79" s="373" t="b">
        <v>0</v>
      </c>
      <c r="J79" s="4"/>
      <c r="K79" s="4"/>
    </row>
    <row r="80">
      <c r="A80" s="425"/>
      <c r="B80" s="364"/>
      <c r="C80" s="429"/>
      <c r="D80" s="450"/>
      <c r="E80" s="452" t="s">
        <v>818</v>
      </c>
      <c r="F80" s="12" t="s">
        <v>815</v>
      </c>
      <c r="G80" s="12"/>
      <c r="H80" s="395"/>
      <c r="I80" s="373" t="b">
        <v>0</v>
      </c>
      <c r="J80" s="4"/>
      <c r="K80" s="4"/>
    </row>
    <row r="81">
      <c r="A81" s="425"/>
      <c r="B81" s="364"/>
      <c r="C81" s="429"/>
      <c r="D81" s="450"/>
      <c r="E81" s="451"/>
      <c r="F81" s="12" t="s">
        <v>822</v>
      </c>
      <c r="G81" s="12"/>
      <c r="H81" s="395"/>
      <c r="I81" s="373" t="b">
        <v>0</v>
      </c>
      <c r="J81" s="4"/>
      <c r="K81" s="4"/>
    </row>
    <row r="82">
      <c r="A82" s="425"/>
      <c r="B82" s="364"/>
      <c r="C82" s="429"/>
      <c r="D82" s="450"/>
      <c r="E82" s="451"/>
      <c r="F82" s="12"/>
      <c r="G82" s="12"/>
      <c r="H82" s="395"/>
      <c r="I82" s="373" t="b">
        <v>0</v>
      </c>
      <c r="J82" s="4"/>
      <c r="K82" s="4"/>
    </row>
    <row r="83">
      <c r="A83" s="425"/>
      <c r="B83" s="364"/>
      <c r="C83" s="429"/>
      <c r="D83" s="450"/>
      <c r="E83" s="451"/>
      <c r="F83" s="12" t="s">
        <v>758</v>
      </c>
      <c r="G83" s="12"/>
      <c r="H83" s="395"/>
      <c r="I83" s="373" t="b">
        <v>0</v>
      </c>
      <c r="J83" s="4"/>
      <c r="K83" s="4"/>
    </row>
    <row r="84">
      <c r="A84" s="425"/>
      <c r="B84" s="364"/>
      <c r="C84" s="429"/>
      <c r="D84" s="450"/>
      <c r="E84" s="452" t="s">
        <v>807</v>
      </c>
      <c r="F84" s="12" t="s">
        <v>823</v>
      </c>
      <c r="G84" s="12"/>
      <c r="H84" s="395"/>
      <c r="I84" s="373" t="b">
        <v>0</v>
      </c>
      <c r="J84" s="4"/>
      <c r="K84" s="4"/>
    </row>
    <row r="85">
      <c r="A85" s="425"/>
      <c r="B85" s="364"/>
      <c r="C85" s="429"/>
      <c r="D85" s="450"/>
      <c r="E85" s="451"/>
      <c r="F85" s="60"/>
      <c r="G85" s="12"/>
      <c r="H85" s="395"/>
      <c r="I85" s="373" t="b">
        <v>0</v>
      </c>
      <c r="J85" s="4"/>
      <c r="K85" s="4"/>
    </row>
    <row r="86">
      <c r="A86" s="425"/>
      <c r="B86" s="364"/>
      <c r="C86" s="429"/>
      <c r="D86" s="453" t="s">
        <v>824</v>
      </c>
      <c r="E86" s="451"/>
      <c r="F86" s="60"/>
      <c r="G86" s="12"/>
      <c r="H86" s="395"/>
      <c r="I86" s="373" t="b">
        <v>0</v>
      </c>
      <c r="J86" s="4"/>
      <c r="K86" s="4"/>
    </row>
    <row r="87">
      <c r="A87" s="425"/>
      <c r="B87" s="364"/>
      <c r="C87" s="429"/>
      <c r="D87" s="450"/>
      <c r="E87" s="451"/>
      <c r="F87" s="60"/>
      <c r="G87" s="12"/>
      <c r="H87" s="395"/>
      <c r="I87" s="373" t="b">
        <v>0</v>
      </c>
      <c r="J87" s="4"/>
      <c r="K87" s="4"/>
    </row>
    <row r="88">
      <c r="A88" s="425"/>
      <c r="B88" s="397"/>
      <c r="C88" s="455"/>
      <c r="D88" s="450"/>
      <c r="E88" s="451"/>
      <c r="F88" s="60"/>
      <c r="G88" s="12"/>
      <c r="H88" s="395"/>
      <c r="I88" s="373" t="b">
        <v>0</v>
      </c>
      <c r="J88" s="4"/>
      <c r="K88" s="4"/>
    </row>
    <row r="89">
      <c r="A89" s="425"/>
      <c r="B89" s="456" t="s">
        <v>825</v>
      </c>
      <c r="C89" s="457"/>
      <c r="D89" s="458" t="s">
        <v>826</v>
      </c>
      <c r="E89" s="451"/>
      <c r="F89" s="60"/>
      <c r="G89" s="12"/>
      <c r="H89" s="395"/>
      <c r="I89" s="373" t="b">
        <v>0</v>
      </c>
      <c r="J89" s="4"/>
      <c r="K89" s="4"/>
    </row>
    <row r="90">
      <c r="A90" s="425"/>
      <c r="B90" s="459"/>
      <c r="C90" s="60"/>
      <c r="D90" s="458"/>
      <c r="E90" s="451"/>
      <c r="F90" s="60"/>
      <c r="G90" s="12"/>
      <c r="H90" s="395"/>
      <c r="I90" s="373" t="b">
        <v>0</v>
      </c>
      <c r="J90" s="4"/>
      <c r="K90" s="4"/>
    </row>
    <row r="91">
      <c r="A91" s="425"/>
      <c r="B91" s="459"/>
      <c r="C91" s="60"/>
      <c r="D91" s="458"/>
      <c r="E91" s="451"/>
      <c r="F91" s="60"/>
      <c r="G91" s="12"/>
      <c r="H91" s="395"/>
      <c r="I91" s="373" t="b">
        <v>0</v>
      </c>
      <c r="J91" s="4"/>
      <c r="K91" s="4"/>
    </row>
    <row r="92">
      <c r="A92" s="425"/>
      <c r="B92" s="459"/>
      <c r="C92" s="60"/>
      <c r="D92" s="458"/>
      <c r="E92" s="451"/>
      <c r="F92" s="60"/>
      <c r="G92" s="12"/>
      <c r="H92" s="395"/>
      <c r="I92" s="373" t="b">
        <v>0</v>
      </c>
      <c r="J92" s="4"/>
      <c r="K92" s="4"/>
    </row>
    <row r="93">
      <c r="A93" s="425"/>
      <c r="B93" s="459"/>
      <c r="C93" s="60"/>
      <c r="D93" s="458"/>
      <c r="E93" s="451"/>
      <c r="F93" s="60"/>
      <c r="G93" s="12"/>
      <c r="H93" s="395"/>
      <c r="I93" s="373" t="b">
        <v>0</v>
      </c>
      <c r="J93" s="4"/>
      <c r="K93" s="4"/>
    </row>
    <row r="94">
      <c r="A94" s="425"/>
      <c r="B94" s="459"/>
      <c r="C94" s="452"/>
      <c r="D94" s="458"/>
      <c r="E94" s="451"/>
      <c r="F94" s="60"/>
      <c r="G94" s="12"/>
      <c r="H94" s="395"/>
      <c r="I94" s="373" t="b">
        <v>0</v>
      </c>
      <c r="J94" s="4"/>
      <c r="K94" s="4"/>
    </row>
    <row r="95">
      <c r="A95" s="425"/>
      <c r="B95" s="459"/>
      <c r="C95" s="60"/>
      <c r="D95" s="60"/>
      <c r="E95" s="451"/>
      <c r="F95" s="60"/>
      <c r="G95" s="12"/>
      <c r="H95" s="395"/>
      <c r="I95" s="373" t="b">
        <v>0</v>
      </c>
      <c r="J95" s="4"/>
      <c r="K95" s="4"/>
    </row>
    <row r="96">
      <c r="A96" s="425"/>
      <c r="B96" s="459"/>
      <c r="C96" s="60"/>
      <c r="D96" s="458" t="s">
        <v>827</v>
      </c>
      <c r="E96" s="451"/>
      <c r="F96" s="60"/>
      <c r="G96" s="12"/>
      <c r="H96" s="395"/>
      <c r="I96" s="373" t="b">
        <v>0</v>
      </c>
      <c r="J96" s="4"/>
      <c r="K96" s="4"/>
    </row>
    <row r="97">
      <c r="A97" s="425"/>
      <c r="B97" s="459"/>
      <c r="C97" s="60"/>
      <c r="D97" s="60"/>
      <c r="E97" s="451"/>
      <c r="F97" s="60"/>
      <c r="G97" s="12"/>
      <c r="H97" s="395"/>
      <c r="I97" s="373" t="b">
        <v>0</v>
      </c>
      <c r="J97" s="4"/>
      <c r="K97" s="4"/>
    </row>
    <row r="98">
      <c r="A98" s="425"/>
      <c r="B98" s="459"/>
      <c r="C98" s="60"/>
      <c r="D98" s="458"/>
      <c r="E98" s="451"/>
      <c r="F98" s="60"/>
      <c r="G98" s="12"/>
      <c r="H98" s="395"/>
      <c r="I98" s="373" t="b">
        <v>0</v>
      </c>
      <c r="J98" s="4"/>
      <c r="K98" s="4"/>
    </row>
    <row r="99">
      <c r="A99" s="425"/>
      <c r="B99" s="459"/>
      <c r="C99" s="60"/>
      <c r="D99" s="60"/>
      <c r="E99" s="451"/>
      <c r="F99" s="60"/>
      <c r="G99" s="12"/>
      <c r="H99" s="395"/>
      <c r="I99" s="373" t="b">
        <v>0</v>
      </c>
      <c r="J99" s="4"/>
      <c r="K99" s="4"/>
    </row>
    <row r="100">
      <c r="A100" s="425"/>
      <c r="B100" s="459"/>
      <c r="C100" s="60"/>
      <c r="D100" s="60"/>
      <c r="E100" s="451"/>
      <c r="F100" s="60"/>
      <c r="G100" s="12"/>
      <c r="H100" s="395"/>
      <c r="I100" s="373" t="b">
        <v>0</v>
      </c>
      <c r="J100" s="4"/>
      <c r="K100" s="4"/>
    </row>
    <row r="101">
      <c r="A101" s="425"/>
      <c r="B101" s="459"/>
      <c r="C101" s="60"/>
      <c r="D101" s="60"/>
      <c r="E101" s="451"/>
      <c r="F101" s="60"/>
      <c r="G101" s="12"/>
      <c r="H101" s="395"/>
      <c r="I101" s="373" t="b">
        <v>0</v>
      </c>
      <c r="J101" s="4"/>
      <c r="K101" s="4"/>
    </row>
    <row r="102">
      <c r="A102" s="425"/>
      <c r="B102" s="459"/>
      <c r="C102" s="60"/>
      <c r="D102" s="458" t="s">
        <v>828</v>
      </c>
      <c r="E102" s="451"/>
      <c r="F102" s="60"/>
      <c r="G102" s="12"/>
      <c r="H102" s="395"/>
      <c r="I102" s="373" t="b">
        <v>0</v>
      </c>
      <c r="J102" s="4"/>
      <c r="K102" s="4"/>
    </row>
    <row r="103">
      <c r="A103" s="425"/>
      <c r="B103" s="459"/>
      <c r="C103" s="60"/>
      <c r="D103" s="60"/>
      <c r="E103" s="451"/>
      <c r="F103" s="60"/>
      <c r="G103" s="12"/>
      <c r="H103" s="395"/>
      <c r="I103" s="373" t="b">
        <v>0</v>
      </c>
      <c r="J103" s="4"/>
      <c r="K103" s="4"/>
    </row>
    <row r="104">
      <c r="A104" s="425"/>
      <c r="B104" s="194"/>
      <c r="C104" s="60"/>
      <c r="D104" s="458" t="s">
        <v>829</v>
      </c>
      <c r="E104" s="451"/>
      <c r="F104" s="60"/>
      <c r="G104" s="12"/>
      <c r="H104" s="395"/>
      <c r="I104" s="373" t="b">
        <v>0</v>
      </c>
      <c r="J104" s="4"/>
      <c r="K104" s="4"/>
    </row>
    <row r="105">
      <c r="A105" s="45"/>
      <c r="B105" s="460"/>
      <c r="C105" s="461"/>
      <c r="D105" s="462"/>
      <c r="E105" s="463"/>
      <c r="F105" s="464"/>
      <c r="G105" s="465"/>
      <c r="H105" s="466"/>
      <c r="I105" s="373" t="b">
        <v>0</v>
      </c>
      <c r="J105" s="45"/>
      <c r="K105" s="45"/>
    </row>
    <row r="106">
      <c r="A106" s="45"/>
      <c r="B106" s="467" t="s">
        <v>830</v>
      </c>
      <c r="C106" s="461"/>
      <c r="D106" s="468" t="s">
        <v>831</v>
      </c>
      <c r="E106" s="463" t="s">
        <v>832</v>
      </c>
      <c r="F106" s="464" t="s">
        <v>833</v>
      </c>
      <c r="G106" s="465" t="s">
        <v>834</v>
      </c>
      <c r="H106" s="466"/>
      <c r="I106" s="411" t="b">
        <v>1</v>
      </c>
      <c r="J106" s="45"/>
      <c r="K106" s="45"/>
    </row>
    <row r="107">
      <c r="A107" s="45"/>
      <c r="B107" s="459"/>
      <c r="C107" s="461"/>
      <c r="D107" s="459"/>
      <c r="E107" s="463" t="s">
        <v>832</v>
      </c>
      <c r="F107" s="464" t="s">
        <v>835</v>
      </c>
      <c r="G107" s="469"/>
      <c r="H107" s="466"/>
      <c r="I107" s="411" t="b">
        <v>1</v>
      </c>
      <c r="J107" s="45"/>
      <c r="K107" s="45"/>
    </row>
    <row r="108">
      <c r="A108" s="45"/>
      <c r="B108" s="459"/>
      <c r="C108" s="461"/>
      <c r="D108" s="459"/>
      <c r="E108" s="463" t="s">
        <v>832</v>
      </c>
      <c r="F108" s="464" t="s">
        <v>836</v>
      </c>
      <c r="G108" s="469"/>
      <c r="H108" s="466"/>
      <c r="I108" s="411" t="b">
        <v>1</v>
      </c>
      <c r="J108" s="45"/>
      <c r="K108" s="45"/>
    </row>
    <row r="109">
      <c r="A109" s="45"/>
      <c r="B109" s="459"/>
      <c r="C109" s="461"/>
      <c r="D109" s="459"/>
      <c r="E109" s="463" t="s">
        <v>832</v>
      </c>
      <c r="F109" s="464" t="s">
        <v>837</v>
      </c>
      <c r="G109" s="465"/>
      <c r="H109" s="466"/>
      <c r="I109" s="411" t="b">
        <v>1</v>
      </c>
      <c r="J109" s="45"/>
      <c r="K109" s="45"/>
    </row>
    <row r="110">
      <c r="A110" s="45"/>
      <c r="B110" s="459"/>
      <c r="C110" s="461"/>
      <c r="D110" s="459"/>
      <c r="E110" s="463" t="s">
        <v>832</v>
      </c>
      <c r="F110" s="464" t="s">
        <v>838</v>
      </c>
      <c r="G110" s="465" t="s">
        <v>839</v>
      </c>
      <c r="H110" s="466"/>
      <c r="I110" s="411" t="b">
        <v>1</v>
      </c>
      <c r="J110" s="45"/>
      <c r="K110" s="45"/>
    </row>
    <row r="111">
      <c r="A111" s="45"/>
      <c r="B111" s="459"/>
      <c r="C111" s="461"/>
      <c r="D111" s="459"/>
      <c r="E111" s="463" t="s">
        <v>832</v>
      </c>
      <c r="F111" s="464" t="s">
        <v>840</v>
      </c>
      <c r="G111" s="469"/>
      <c r="H111" s="466"/>
      <c r="I111" s="411" t="b">
        <v>0</v>
      </c>
      <c r="J111" s="45"/>
      <c r="K111" s="45"/>
    </row>
    <row r="112">
      <c r="A112" s="45"/>
      <c r="B112" s="459"/>
      <c r="C112" s="461"/>
      <c r="D112" s="459"/>
      <c r="E112" s="463" t="s">
        <v>832</v>
      </c>
      <c r="F112" s="464" t="s">
        <v>841</v>
      </c>
      <c r="G112" s="465"/>
      <c r="H112" s="466"/>
      <c r="I112" s="411" t="b">
        <v>0</v>
      </c>
      <c r="J112" s="45"/>
      <c r="K112" s="45"/>
    </row>
    <row r="113">
      <c r="A113" s="45"/>
      <c r="B113" s="459"/>
      <c r="C113" s="461"/>
      <c r="D113" s="194"/>
      <c r="E113" s="470"/>
      <c r="F113" s="464"/>
      <c r="G113" s="465"/>
      <c r="H113" s="466"/>
      <c r="I113" s="411" t="b">
        <v>0</v>
      </c>
      <c r="J113" s="45"/>
      <c r="K113" s="45"/>
    </row>
    <row r="114">
      <c r="A114" s="45"/>
      <c r="B114" s="459"/>
      <c r="C114" s="461"/>
      <c r="D114" s="468" t="s">
        <v>842</v>
      </c>
      <c r="E114" s="463" t="s">
        <v>843</v>
      </c>
      <c r="F114" s="464" t="s">
        <v>844</v>
      </c>
      <c r="G114" s="465" t="s">
        <v>845</v>
      </c>
      <c r="H114" s="466"/>
      <c r="I114" s="411" t="b">
        <v>1</v>
      </c>
      <c r="J114" s="45"/>
      <c r="K114" s="45"/>
    </row>
    <row r="115">
      <c r="A115" s="45"/>
      <c r="B115" s="459"/>
      <c r="C115" s="461"/>
      <c r="D115" s="459"/>
      <c r="E115" s="463" t="s">
        <v>756</v>
      </c>
      <c r="F115" s="464" t="s">
        <v>846</v>
      </c>
      <c r="G115" s="469"/>
      <c r="H115" s="466"/>
      <c r="I115" s="411" t="b">
        <v>1</v>
      </c>
      <c r="J115" s="45"/>
      <c r="K115" s="45"/>
    </row>
    <row r="116">
      <c r="A116" s="45"/>
      <c r="B116" s="459"/>
      <c r="C116" s="461"/>
      <c r="D116" s="459"/>
      <c r="E116" s="463" t="s">
        <v>847</v>
      </c>
      <c r="F116" s="464" t="s">
        <v>848</v>
      </c>
      <c r="G116" s="465" t="s">
        <v>849</v>
      </c>
      <c r="H116" s="466"/>
      <c r="I116" s="411" t="b">
        <v>1</v>
      </c>
      <c r="J116" s="45"/>
      <c r="K116" s="45"/>
    </row>
    <row r="117">
      <c r="A117" s="45"/>
      <c r="B117" s="459"/>
      <c r="C117" s="461"/>
      <c r="D117" s="459"/>
      <c r="E117" s="463" t="s">
        <v>816</v>
      </c>
      <c r="F117" s="464" t="s">
        <v>850</v>
      </c>
      <c r="G117" s="465" t="s">
        <v>851</v>
      </c>
      <c r="H117" s="466"/>
      <c r="I117" s="373" t="b">
        <v>0</v>
      </c>
      <c r="J117" s="45"/>
      <c r="K117" s="45"/>
    </row>
    <row r="118">
      <c r="A118" s="45"/>
      <c r="B118" s="459"/>
      <c r="C118" s="461"/>
      <c r="D118" s="459"/>
      <c r="E118" s="463" t="s">
        <v>816</v>
      </c>
      <c r="F118" s="464" t="s">
        <v>852</v>
      </c>
      <c r="G118" s="465" t="s">
        <v>853</v>
      </c>
      <c r="H118" s="466"/>
      <c r="I118" s="411" t="b">
        <v>1</v>
      </c>
      <c r="J118" s="45"/>
      <c r="K118" s="45"/>
    </row>
    <row r="119">
      <c r="A119" s="45"/>
      <c r="B119" s="459"/>
      <c r="C119" s="461"/>
      <c r="D119" s="459"/>
      <c r="E119" s="463" t="s">
        <v>816</v>
      </c>
      <c r="F119" s="464" t="s">
        <v>854</v>
      </c>
      <c r="G119" s="465" t="s">
        <v>855</v>
      </c>
      <c r="H119" s="466"/>
      <c r="I119" s="411" t="b">
        <v>1</v>
      </c>
      <c r="J119" s="45"/>
      <c r="K119" s="45"/>
    </row>
    <row r="120">
      <c r="A120" s="45"/>
      <c r="B120" s="459"/>
      <c r="C120" s="461"/>
      <c r="D120" s="459"/>
      <c r="E120" s="463" t="s">
        <v>816</v>
      </c>
      <c r="F120" s="464" t="s">
        <v>856</v>
      </c>
      <c r="G120" s="465" t="s">
        <v>857</v>
      </c>
      <c r="H120" s="466"/>
      <c r="I120" s="411" t="b">
        <v>1</v>
      </c>
      <c r="J120" s="45"/>
      <c r="K120" s="45"/>
    </row>
    <row r="121">
      <c r="A121" s="45"/>
      <c r="B121" s="459"/>
      <c r="C121" s="461"/>
      <c r="D121" s="459"/>
      <c r="E121" s="463" t="s">
        <v>832</v>
      </c>
      <c r="F121" s="471" t="s">
        <v>858</v>
      </c>
      <c r="G121" s="465" t="s">
        <v>859</v>
      </c>
      <c r="H121" s="466"/>
      <c r="I121" s="411" t="b">
        <v>1</v>
      </c>
      <c r="J121" s="259" t="s">
        <v>860</v>
      </c>
      <c r="K121" s="45"/>
    </row>
    <row r="122">
      <c r="A122" s="45"/>
      <c r="B122" s="459"/>
      <c r="C122" s="461"/>
      <c r="D122" s="459"/>
      <c r="E122" s="463" t="s">
        <v>807</v>
      </c>
      <c r="F122" s="471" t="s">
        <v>861</v>
      </c>
      <c r="G122" s="465" t="s">
        <v>862</v>
      </c>
      <c r="H122" s="466"/>
      <c r="I122" s="411" t="b">
        <v>1</v>
      </c>
      <c r="J122" s="45"/>
      <c r="K122" s="45"/>
    </row>
    <row r="123">
      <c r="A123" s="45"/>
      <c r="B123" s="459"/>
      <c r="C123" s="461"/>
      <c r="D123" s="459"/>
      <c r="E123" s="463" t="s">
        <v>807</v>
      </c>
      <c r="F123" s="472" t="s">
        <v>863</v>
      </c>
      <c r="G123" s="465" t="s">
        <v>864</v>
      </c>
      <c r="H123" s="466"/>
      <c r="I123" s="411" t="b">
        <v>1</v>
      </c>
      <c r="J123" s="45"/>
      <c r="K123" s="45"/>
    </row>
    <row r="124">
      <c r="A124" s="45"/>
      <c r="B124" s="459"/>
      <c r="C124" s="461"/>
      <c r="D124" s="459"/>
      <c r="E124" s="463" t="s">
        <v>807</v>
      </c>
      <c r="F124" s="472" t="s">
        <v>863</v>
      </c>
      <c r="G124" s="465" t="s">
        <v>865</v>
      </c>
      <c r="H124" s="466"/>
      <c r="I124" s="411" t="b">
        <v>1</v>
      </c>
      <c r="J124" s="45"/>
      <c r="K124" s="45"/>
    </row>
    <row r="125">
      <c r="A125" s="45"/>
      <c r="B125" s="459"/>
      <c r="C125" s="461"/>
      <c r="D125" s="459"/>
      <c r="E125" s="463" t="s">
        <v>807</v>
      </c>
      <c r="F125" s="472" t="s">
        <v>866</v>
      </c>
      <c r="G125" s="465" t="s">
        <v>867</v>
      </c>
      <c r="H125" s="466"/>
      <c r="I125" s="411" t="b">
        <v>1</v>
      </c>
      <c r="J125" s="45"/>
      <c r="K125" s="45"/>
    </row>
    <row r="126">
      <c r="A126" s="45"/>
      <c r="B126" s="459"/>
      <c r="C126" s="461"/>
      <c r="D126" s="194"/>
      <c r="E126" s="463" t="s">
        <v>807</v>
      </c>
      <c r="F126" s="472" t="s">
        <v>866</v>
      </c>
      <c r="G126" s="465" t="s">
        <v>868</v>
      </c>
      <c r="H126" s="466"/>
      <c r="I126" s="411" t="b">
        <v>1</v>
      </c>
      <c r="J126" s="45"/>
      <c r="K126" s="45"/>
    </row>
    <row r="127">
      <c r="A127" s="45"/>
      <c r="B127" s="459"/>
      <c r="C127" s="461"/>
      <c r="D127" s="468" t="s">
        <v>869</v>
      </c>
      <c r="E127" s="463" t="s">
        <v>870</v>
      </c>
      <c r="F127" s="464" t="s">
        <v>871</v>
      </c>
      <c r="G127" s="465" t="s">
        <v>872</v>
      </c>
      <c r="H127" s="466"/>
      <c r="I127" s="373" t="b">
        <v>0</v>
      </c>
      <c r="J127" s="45"/>
      <c r="K127" s="45"/>
    </row>
    <row r="128">
      <c r="A128" s="45"/>
      <c r="B128" s="459"/>
      <c r="C128" s="461"/>
      <c r="D128" s="459"/>
      <c r="E128" s="463" t="s">
        <v>873</v>
      </c>
      <c r="F128" s="464" t="s">
        <v>874</v>
      </c>
      <c r="G128" s="465" t="s">
        <v>875</v>
      </c>
      <c r="H128" s="466"/>
      <c r="I128" s="373" t="b">
        <v>0</v>
      </c>
      <c r="J128" s="45"/>
      <c r="K128" s="45"/>
    </row>
    <row r="129">
      <c r="A129" s="45"/>
      <c r="B129" s="459"/>
      <c r="C129" s="461"/>
      <c r="D129" s="459"/>
      <c r="E129" s="463" t="s">
        <v>873</v>
      </c>
      <c r="F129" s="464" t="s">
        <v>876</v>
      </c>
      <c r="G129" s="465" t="s">
        <v>875</v>
      </c>
      <c r="H129" s="466"/>
      <c r="I129" s="373" t="b">
        <v>0</v>
      </c>
      <c r="J129" s="45"/>
      <c r="K129" s="45"/>
    </row>
    <row r="130">
      <c r="A130" s="45"/>
      <c r="B130" s="459"/>
      <c r="C130" s="461"/>
      <c r="D130" s="459"/>
      <c r="E130" s="463" t="s">
        <v>873</v>
      </c>
      <c r="F130" s="464" t="s">
        <v>877</v>
      </c>
      <c r="G130" s="465" t="s">
        <v>875</v>
      </c>
      <c r="H130" s="466"/>
      <c r="I130" s="373" t="b">
        <v>0</v>
      </c>
      <c r="J130" s="45"/>
      <c r="K130" s="45"/>
    </row>
    <row r="131">
      <c r="A131" s="45"/>
      <c r="B131" s="459"/>
      <c r="C131" s="461"/>
      <c r="D131" s="459"/>
      <c r="E131" s="463" t="s">
        <v>847</v>
      </c>
      <c r="F131" s="464" t="s">
        <v>878</v>
      </c>
      <c r="G131" s="465" t="s">
        <v>879</v>
      </c>
      <c r="H131" s="466"/>
      <c r="I131" s="373" t="b">
        <v>0</v>
      </c>
      <c r="J131" s="45"/>
      <c r="K131" s="45"/>
    </row>
    <row r="132">
      <c r="A132" s="45"/>
      <c r="B132" s="459"/>
      <c r="C132" s="461"/>
      <c r="D132" s="194"/>
      <c r="E132" s="463"/>
      <c r="F132" s="464"/>
      <c r="G132" s="469"/>
      <c r="H132" s="466"/>
      <c r="I132" s="373" t="b">
        <v>0</v>
      </c>
      <c r="J132" s="45"/>
      <c r="K132" s="45"/>
    </row>
    <row r="133">
      <c r="A133" s="45"/>
      <c r="B133" s="459"/>
      <c r="C133" s="461"/>
      <c r="D133" s="468" t="s">
        <v>880</v>
      </c>
      <c r="E133" s="470"/>
      <c r="F133" s="464" t="s">
        <v>881</v>
      </c>
      <c r="G133" s="465" t="s">
        <v>882</v>
      </c>
      <c r="H133" s="466"/>
      <c r="I133" s="411" t="b">
        <v>1</v>
      </c>
      <c r="J133" s="45"/>
      <c r="K133" s="45"/>
    </row>
    <row r="134">
      <c r="A134" s="45"/>
      <c r="B134" s="459"/>
      <c r="C134" s="461"/>
      <c r="D134" s="459"/>
      <c r="E134" s="470"/>
      <c r="F134" s="464" t="s">
        <v>883</v>
      </c>
      <c r="G134" s="465" t="s">
        <v>884</v>
      </c>
      <c r="H134" s="466"/>
      <c r="I134" s="373" t="b">
        <v>0</v>
      </c>
      <c r="J134" s="45"/>
      <c r="K134" s="45"/>
    </row>
    <row r="135">
      <c r="A135" s="45"/>
      <c r="B135" s="459"/>
      <c r="C135" s="461"/>
      <c r="D135" s="459"/>
      <c r="E135" s="470"/>
      <c r="F135" s="464" t="s">
        <v>885</v>
      </c>
      <c r="G135" s="465" t="s">
        <v>886</v>
      </c>
      <c r="H135" s="466"/>
      <c r="I135" s="373" t="b">
        <v>0</v>
      </c>
      <c r="J135" s="45"/>
      <c r="K135" s="45"/>
    </row>
    <row r="136">
      <c r="A136" s="45"/>
      <c r="B136" s="459"/>
      <c r="C136" s="461"/>
      <c r="D136" s="459"/>
      <c r="E136" s="470"/>
      <c r="F136" s="461"/>
      <c r="G136" s="469"/>
      <c r="H136" s="466"/>
      <c r="I136" s="373" t="b">
        <v>0</v>
      </c>
      <c r="J136" s="45"/>
      <c r="K136" s="45"/>
    </row>
    <row r="137">
      <c r="A137" s="45"/>
      <c r="B137" s="194"/>
      <c r="C137" s="461"/>
      <c r="D137" s="194"/>
      <c r="E137" s="470"/>
      <c r="F137" s="461"/>
      <c r="G137" s="469"/>
      <c r="H137" s="466"/>
      <c r="I137" s="473"/>
      <c r="J137" s="45"/>
      <c r="K137" s="45"/>
    </row>
    <row r="138">
      <c r="A138" s="45"/>
      <c r="B138" s="45"/>
      <c r="C138" s="45"/>
      <c r="D138" s="45"/>
      <c r="E138" s="258"/>
      <c r="F138" s="45"/>
      <c r="G138" s="474"/>
      <c r="H138" s="475"/>
      <c r="I138" s="373"/>
      <c r="J138" s="45"/>
      <c r="K138" s="45"/>
    </row>
    <row r="139">
      <c r="A139" s="45"/>
      <c r="B139" s="45"/>
      <c r="C139" s="45"/>
      <c r="D139" s="45"/>
      <c r="E139" s="258"/>
      <c r="F139" s="45"/>
      <c r="G139" s="474"/>
      <c r="H139" s="475"/>
      <c r="I139" s="373"/>
      <c r="J139" s="45"/>
      <c r="K139" s="45"/>
    </row>
    <row r="140">
      <c r="A140" s="45"/>
      <c r="B140" s="45"/>
      <c r="C140" s="45"/>
      <c r="D140" s="45"/>
      <c r="E140" s="258"/>
      <c r="F140" s="45"/>
      <c r="G140" s="474"/>
      <c r="H140" s="475"/>
      <c r="I140" s="373"/>
      <c r="J140" s="45"/>
      <c r="K140" s="45"/>
    </row>
    <row r="141">
      <c r="A141" s="45"/>
      <c r="B141" s="45"/>
      <c r="C141" s="45"/>
      <c r="D141" s="45"/>
      <c r="E141" s="258"/>
      <c r="F141" s="45"/>
      <c r="G141" s="474"/>
      <c r="H141" s="475"/>
      <c r="I141" s="373"/>
      <c r="J141" s="45"/>
      <c r="K141" s="45"/>
    </row>
    <row r="142">
      <c r="A142" s="45"/>
      <c r="B142" s="45"/>
      <c r="C142" s="45"/>
      <c r="D142" s="45"/>
      <c r="E142" s="258"/>
      <c r="F142" s="45"/>
      <c r="G142" s="474"/>
      <c r="H142" s="475"/>
      <c r="I142" s="373"/>
      <c r="J142" s="45"/>
      <c r="K142" s="45"/>
    </row>
    <row r="143">
      <c r="A143" s="45"/>
      <c r="B143" s="45"/>
      <c r="C143" s="45"/>
      <c r="D143" s="45"/>
      <c r="E143" s="258"/>
      <c r="F143" s="45"/>
      <c r="G143" s="474"/>
      <c r="H143" s="475"/>
      <c r="I143" s="373"/>
      <c r="J143" s="45"/>
      <c r="K143" s="45"/>
    </row>
    <row r="144">
      <c r="A144" s="45"/>
      <c r="B144" s="45"/>
      <c r="C144" s="45"/>
      <c r="D144" s="45"/>
      <c r="E144" s="258"/>
      <c r="F144" s="45"/>
      <c r="G144" s="474"/>
      <c r="H144" s="475"/>
      <c r="I144" s="373"/>
      <c r="J144" s="45"/>
      <c r="K144" s="45"/>
    </row>
    <row r="145">
      <c r="A145" s="45"/>
      <c r="B145" s="45"/>
      <c r="C145" s="45"/>
      <c r="D145" s="45"/>
      <c r="E145" s="258"/>
      <c r="F145" s="45"/>
      <c r="G145" s="474"/>
      <c r="H145" s="475"/>
      <c r="I145" s="373"/>
      <c r="J145" s="45"/>
      <c r="K145" s="45"/>
    </row>
    <row r="146">
      <c r="A146" s="45"/>
      <c r="B146" s="45"/>
      <c r="C146" s="45"/>
      <c r="D146" s="45"/>
      <c r="E146" s="258"/>
      <c r="F146" s="45"/>
      <c r="G146" s="474"/>
      <c r="H146" s="475"/>
      <c r="I146" s="373"/>
      <c r="J146" s="45"/>
      <c r="K146" s="45"/>
    </row>
    <row r="147">
      <c r="A147" s="45"/>
      <c r="B147" s="45"/>
      <c r="C147" s="45"/>
      <c r="D147" s="45"/>
      <c r="E147" s="258"/>
      <c r="F147" s="45"/>
      <c r="G147" s="474"/>
      <c r="H147" s="475"/>
      <c r="I147" s="373"/>
      <c r="J147" s="45"/>
      <c r="K147" s="45"/>
    </row>
    <row r="148">
      <c r="A148" s="45"/>
      <c r="B148" s="45"/>
      <c r="C148" s="45"/>
      <c r="D148" s="45"/>
      <c r="E148" s="258"/>
      <c r="F148" s="45"/>
      <c r="G148" s="474"/>
      <c r="H148" s="475"/>
      <c r="I148" s="373"/>
      <c r="J148" s="45"/>
      <c r="K148" s="45"/>
    </row>
    <row r="149">
      <c r="A149" s="45"/>
      <c r="B149" s="45"/>
      <c r="C149" s="45"/>
      <c r="D149" s="45"/>
      <c r="E149" s="258"/>
      <c r="F149" s="45"/>
      <c r="G149" s="474"/>
      <c r="H149" s="475"/>
      <c r="I149" s="373"/>
      <c r="J149" s="45"/>
      <c r="K149" s="45"/>
    </row>
    <row r="150">
      <c r="A150" s="45"/>
      <c r="B150" s="45"/>
      <c r="C150" s="45"/>
      <c r="D150" s="45"/>
      <c r="E150" s="258"/>
      <c r="F150" s="45"/>
      <c r="G150" s="474"/>
      <c r="H150" s="475"/>
      <c r="I150" s="373"/>
      <c r="J150" s="45"/>
      <c r="K150" s="45"/>
    </row>
    <row r="151">
      <c r="A151" s="45"/>
      <c r="B151" s="45"/>
      <c r="C151" s="45"/>
      <c r="D151" s="45"/>
      <c r="E151" s="258"/>
      <c r="F151" s="45"/>
      <c r="G151" s="474"/>
      <c r="H151" s="475"/>
      <c r="I151" s="373"/>
      <c r="J151" s="45"/>
      <c r="K151" s="45"/>
    </row>
    <row r="152">
      <c r="A152" s="45"/>
      <c r="B152" s="45"/>
      <c r="C152" s="45"/>
      <c r="D152" s="45"/>
      <c r="E152" s="258"/>
      <c r="F152" s="45"/>
      <c r="G152" s="474"/>
      <c r="H152" s="475"/>
      <c r="I152" s="373"/>
      <c r="J152" s="45"/>
      <c r="K152" s="45"/>
    </row>
    <row r="153">
      <c r="A153" s="45"/>
      <c r="B153" s="45"/>
      <c r="C153" s="45"/>
      <c r="D153" s="45"/>
      <c r="E153" s="258"/>
      <c r="F153" s="45"/>
      <c r="G153" s="474"/>
      <c r="H153" s="475"/>
      <c r="I153" s="373"/>
      <c r="J153" s="45"/>
      <c r="K153" s="45"/>
    </row>
    <row r="154">
      <c r="A154" s="45"/>
      <c r="B154" s="45"/>
      <c r="C154" s="45"/>
      <c r="D154" s="45"/>
      <c r="E154" s="258"/>
      <c r="F154" s="45"/>
      <c r="G154" s="474"/>
      <c r="H154" s="475"/>
      <c r="I154" s="373"/>
      <c r="J154" s="45"/>
      <c r="K154" s="45"/>
    </row>
    <row r="155">
      <c r="A155" s="45"/>
      <c r="B155" s="45"/>
      <c r="C155" s="45"/>
      <c r="D155" s="45"/>
      <c r="E155" s="258"/>
      <c r="F155" s="45"/>
      <c r="G155" s="474"/>
      <c r="H155" s="475"/>
      <c r="I155" s="373"/>
      <c r="J155" s="45"/>
      <c r="K155" s="45"/>
    </row>
    <row r="156">
      <c r="A156" s="45"/>
      <c r="B156" s="45"/>
      <c r="C156" s="45"/>
      <c r="D156" s="45"/>
      <c r="E156" s="258"/>
      <c r="F156" s="45"/>
      <c r="G156" s="474"/>
      <c r="H156" s="475"/>
      <c r="I156" s="373"/>
      <c r="J156" s="45"/>
      <c r="K156" s="45"/>
    </row>
    <row r="157">
      <c r="A157" s="45"/>
      <c r="B157" s="45"/>
      <c r="C157" s="45"/>
      <c r="D157" s="45"/>
      <c r="E157" s="258"/>
      <c r="F157" s="45"/>
      <c r="G157" s="474"/>
      <c r="H157" s="475"/>
      <c r="I157" s="373"/>
      <c r="J157" s="45"/>
      <c r="K157" s="45"/>
    </row>
    <row r="158">
      <c r="A158" s="45"/>
      <c r="B158" s="45"/>
      <c r="C158" s="45"/>
      <c r="D158" s="45"/>
      <c r="E158" s="258"/>
      <c r="F158" s="45"/>
      <c r="G158" s="474"/>
      <c r="H158" s="475"/>
      <c r="I158" s="373"/>
      <c r="J158" s="45"/>
      <c r="K158" s="45"/>
    </row>
    <row r="159">
      <c r="A159" s="45"/>
      <c r="B159" s="45"/>
      <c r="C159" s="45"/>
      <c r="D159" s="45"/>
      <c r="E159" s="258"/>
      <c r="F159" s="45"/>
      <c r="G159" s="474"/>
      <c r="H159" s="475"/>
      <c r="I159" s="373"/>
      <c r="J159" s="45"/>
      <c r="K159" s="45"/>
    </row>
    <row r="160">
      <c r="A160" s="45"/>
      <c r="B160" s="45"/>
      <c r="C160" s="45"/>
      <c r="D160" s="45"/>
      <c r="E160" s="258"/>
      <c r="F160" s="45"/>
      <c r="G160" s="474"/>
      <c r="H160" s="475"/>
      <c r="I160" s="373"/>
      <c r="J160" s="45"/>
      <c r="K160" s="45"/>
    </row>
    <row r="161">
      <c r="A161" s="45"/>
      <c r="B161" s="45"/>
      <c r="C161" s="45"/>
      <c r="D161" s="45"/>
      <c r="E161" s="258"/>
      <c r="F161" s="45"/>
      <c r="G161" s="474"/>
      <c r="H161" s="475"/>
      <c r="I161" s="373"/>
      <c r="J161" s="45"/>
      <c r="K161" s="45"/>
    </row>
    <row r="162">
      <c r="A162" s="45"/>
      <c r="B162" s="45"/>
      <c r="C162" s="45"/>
      <c r="D162" s="45"/>
      <c r="E162" s="258"/>
      <c r="F162" s="45"/>
      <c r="G162" s="474"/>
      <c r="H162" s="475"/>
      <c r="I162" s="373"/>
      <c r="J162" s="45"/>
      <c r="K162" s="45"/>
    </row>
    <row r="163">
      <c r="A163" s="45"/>
      <c r="B163" s="45"/>
      <c r="C163" s="45"/>
      <c r="D163" s="45"/>
      <c r="E163" s="258"/>
      <c r="F163" s="45"/>
      <c r="G163" s="474"/>
      <c r="H163" s="475"/>
      <c r="I163" s="373"/>
      <c r="J163" s="45"/>
      <c r="K163" s="45"/>
    </row>
    <row r="164">
      <c r="A164" s="45"/>
      <c r="B164" s="45"/>
      <c r="C164" s="45"/>
      <c r="D164" s="45"/>
      <c r="E164" s="258"/>
      <c r="F164" s="45"/>
      <c r="G164" s="474"/>
      <c r="H164" s="475"/>
      <c r="I164" s="373"/>
      <c r="J164" s="45"/>
      <c r="K164" s="45"/>
    </row>
    <row r="165">
      <c r="A165" s="45"/>
      <c r="B165" s="45"/>
      <c r="C165" s="45"/>
      <c r="D165" s="45"/>
      <c r="E165" s="258"/>
      <c r="F165" s="45"/>
      <c r="G165" s="474"/>
      <c r="H165" s="475"/>
      <c r="I165" s="373"/>
      <c r="J165" s="45"/>
      <c r="K165" s="45"/>
    </row>
    <row r="166">
      <c r="A166" s="45"/>
      <c r="B166" s="45"/>
      <c r="C166" s="45"/>
      <c r="D166" s="45"/>
      <c r="E166" s="258"/>
      <c r="F166" s="45"/>
      <c r="G166" s="474"/>
      <c r="H166" s="475"/>
      <c r="I166" s="373"/>
      <c r="J166" s="45"/>
      <c r="K166" s="45"/>
    </row>
    <row r="167">
      <c r="A167" s="45"/>
      <c r="B167" s="45"/>
      <c r="C167" s="45"/>
      <c r="D167" s="45"/>
      <c r="E167" s="258"/>
      <c r="F167" s="45"/>
      <c r="G167" s="474"/>
      <c r="H167" s="475"/>
      <c r="I167" s="373"/>
      <c r="J167" s="45"/>
      <c r="K167" s="45"/>
    </row>
    <row r="168">
      <c r="A168" s="45"/>
      <c r="B168" s="45"/>
      <c r="C168" s="45"/>
      <c r="D168" s="45"/>
      <c r="E168" s="258"/>
      <c r="F168" s="45"/>
      <c r="G168" s="474"/>
      <c r="H168" s="475"/>
      <c r="I168" s="373"/>
      <c r="J168" s="45"/>
      <c r="K168" s="45"/>
    </row>
    <row r="169">
      <c r="A169" s="45"/>
      <c r="B169" s="45"/>
      <c r="C169" s="45"/>
      <c r="D169" s="45"/>
      <c r="E169" s="258"/>
      <c r="F169" s="45"/>
      <c r="G169" s="474"/>
      <c r="H169" s="475"/>
      <c r="I169" s="373"/>
      <c r="J169" s="45"/>
      <c r="K169" s="45"/>
    </row>
    <row r="170">
      <c r="A170" s="45"/>
      <c r="B170" s="45"/>
      <c r="C170" s="45"/>
      <c r="D170" s="45"/>
      <c r="E170" s="258"/>
      <c r="F170" s="45"/>
      <c r="G170" s="474"/>
      <c r="H170" s="475"/>
      <c r="I170" s="373"/>
      <c r="J170" s="45"/>
      <c r="K170" s="45"/>
    </row>
    <row r="171">
      <c r="A171" s="45"/>
      <c r="B171" s="45"/>
      <c r="C171" s="45"/>
      <c r="D171" s="45"/>
      <c r="E171" s="258"/>
      <c r="F171" s="45"/>
      <c r="G171" s="474"/>
      <c r="H171" s="475"/>
      <c r="I171" s="373"/>
      <c r="J171" s="45"/>
      <c r="K171" s="45"/>
    </row>
    <row r="172">
      <c r="A172" s="45"/>
      <c r="B172" s="45"/>
      <c r="C172" s="45"/>
      <c r="D172" s="45"/>
      <c r="E172" s="258"/>
      <c r="F172" s="45"/>
      <c r="G172" s="474"/>
      <c r="H172" s="475"/>
      <c r="I172" s="373"/>
      <c r="J172" s="45"/>
      <c r="K172" s="45"/>
    </row>
    <row r="173">
      <c r="A173" s="45"/>
      <c r="B173" s="45"/>
      <c r="C173" s="45"/>
      <c r="D173" s="45"/>
      <c r="E173" s="258"/>
      <c r="F173" s="45"/>
      <c r="G173" s="474"/>
      <c r="H173" s="475"/>
      <c r="I173" s="373"/>
      <c r="J173" s="45"/>
      <c r="K173" s="45"/>
    </row>
    <row r="174">
      <c r="A174" s="45"/>
      <c r="B174" s="45"/>
      <c r="C174" s="45"/>
      <c r="D174" s="45"/>
      <c r="E174" s="258"/>
      <c r="F174" s="45"/>
      <c r="G174" s="474"/>
      <c r="H174" s="475"/>
      <c r="I174" s="373"/>
      <c r="J174" s="45"/>
      <c r="K174" s="45"/>
    </row>
    <row r="175">
      <c r="A175" s="45"/>
      <c r="B175" s="45"/>
      <c r="C175" s="45"/>
      <c r="D175" s="45"/>
      <c r="E175" s="258"/>
      <c r="F175" s="45"/>
      <c r="G175" s="474"/>
      <c r="H175" s="475"/>
      <c r="I175" s="373"/>
      <c r="J175" s="45"/>
      <c r="K175" s="45"/>
    </row>
    <row r="176">
      <c r="A176" s="45"/>
      <c r="B176" s="45"/>
      <c r="C176" s="45"/>
      <c r="D176" s="45"/>
      <c r="E176" s="258"/>
      <c r="F176" s="45"/>
      <c r="G176" s="474"/>
      <c r="H176" s="475"/>
      <c r="I176" s="373"/>
      <c r="J176" s="45"/>
      <c r="K176" s="45"/>
    </row>
    <row r="177">
      <c r="A177" s="45"/>
      <c r="B177" s="45"/>
      <c r="C177" s="45"/>
      <c r="D177" s="45"/>
      <c r="E177" s="258"/>
      <c r="F177" s="45"/>
      <c r="G177" s="474"/>
      <c r="H177" s="475"/>
      <c r="I177" s="373"/>
      <c r="J177" s="45"/>
      <c r="K177" s="45"/>
    </row>
    <row r="178">
      <c r="A178" s="45"/>
      <c r="B178" s="45"/>
      <c r="C178" s="45"/>
      <c r="D178" s="45"/>
      <c r="E178" s="258"/>
      <c r="F178" s="45"/>
      <c r="G178" s="474"/>
      <c r="H178" s="475"/>
      <c r="I178" s="373"/>
      <c r="J178" s="45"/>
      <c r="K178" s="45"/>
    </row>
    <row r="179">
      <c r="A179" s="45"/>
      <c r="B179" s="45"/>
      <c r="C179" s="45"/>
      <c r="D179" s="45"/>
      <c r="E179" s="258"/>
      <c r="F179" s="45"/>
      <c r="G179" s="474"/>
      <c r="H179" s="475"/>
      <c r="I179" s="373"/>
      <c r="J179" s="45"/>
      <c r="K179" s="45"/>
    </row>
    <row r="180">
      <c r="A180" s="45"/>
      <c r="B180" s="45"/>
      <c r="C180" s="45"/>
      <c r="D180" s="45"/>
      <c r="E180" s="258"/>
      <c r="F180" s="45"/>
      <c r="G180" s="474"/>
      <c r="H180" s="475"/>
      <c r="I180" s="373"/>
      <c r="J180" s="45"/>
      <c r="K180" s="45"/>
    </row>
    <row r="181">
      <c r="A181" s="45"/>
      <c r="B181" s="45"/>
      <c r="C181" s="45"/>
      <c r="D181" s="45"/>
      <c r="E181" s="258"/>
      <c r="F181" s="45"/>
      <c r="G181" s="474"/>
      <c r="H181" s="475"/>
      <c r="I181" s="373"/>
      <c r="J181" s="45"/>
      <c r="K181" s="45"/>
    </row>
    <row r="182">
      <c r="A182" s="45"/>
      <c r="B182" s="45"/>
      <c r="C182" s="45"/>
      <c r="D182" s="45"/>
      <c r="E182" s="258"/>
      <c r="F182" s="45"/>
      <c r="G182" s="474"/>
      <c r="H182" s="475"/>
      <c r="I182" s="373"/>
      <c r="J182" s="45"/>
      <c r="K182" s="45"/>
    </row>
    <row r="183">
      <c r="A183" s="45"/>
      <c r="B183" s="45"/>
      <c r="C183" s="45"/>
      <c r="D183" s="45"/>
      <c r="E183" s="258"/>
      <c r="F183" s="45"/>
      <c r="G183" s="474"/>
      <c r="H183" s="475"/>
      <c r="I183" s="373"/>
      <c r="J183" s="45"/>
      <c r="K183" s="45"/>
    </row>
    <row r="184">
      <c r="A184" s="45"/>
      <c r="B184" s="45"/>
      <c r="C184" s="45"/>
      <c r="D184" s="45"/>
      <c r="E184" s="258"/>
      <c r="F184" s="45"/>
      <c r="G184" s="474"/>
      <c r="H184" s="475"/>
      <c r="I184" s="373"/>
      <c r="J184" s="45"/>
      <c r="K184" s="45"/>
    </row>
    <row r="185">
      <c r="A185" s="45"/>
      <c r="B185" s="45"/>
      <c r="C185" s="45"/>
      <c r="D185" s="45"/>
      <c r="E185" s="258"/>
      <c r="F185" s="45"/>
      <c r="G185" s="474"/>
      <c r="H185" s="475"/>
      <c r="I185" s="373"/>
      <c r="J185" s="45"/>
      <c r="K185" s="45"/>
    </row>
    <row r="186">
      <c r="A186" s="45"/>
      <c r="B186" s="45"/>
      <c r="C186" s="45"/>
      <c r="D186" s="45"/>
      <c r="E186" s="258"/>
      <c r="F186" s="45"/>
      <c r="G186" s="474"/>
      <c r="H186" s="475"/>
      <c r="I186" s="373"/>
      <c r="J186" s="45"/>
      <c r="K186" s="45"/>
    </row>
    <row r="187">
      <c r="A187" s="45"/>
      <c r="B187" s="45"/>
      <c r="C187" s="45"/>
      <c r="D187" s="45"/>
      <c r="E187" s="258"/>
      <c r="F187" s="45"/>
      <c r="G187" s="474"/>
      <c r="H187" s="475"/>
      <c r="I187" s="373"/>
      <c r="J187" s="45"/>
      <c r="K187" s="45"/>
    </row>
    <row r="188">
      <c r="A188" s="45"/>
      <c r="B188" s="45"/>
      <c r="C188" s="45"/>
      <c r="D188" s="45"/>
      <c r="E188" s="258"/>
      <c r="F188" s="45"/>
      <c r="G188" s="474"/>
      <c r="H188" s="475"/>
      <c r="I188" s="373"/>
      <c r="J188" s="45"/>
      <c r="K188" s="45"/>
    </row>
    <row r="189">
      <c r="A189" s="45"/>
      <c r="B189" s="45"/>
      <c r="C189" s="45"/>
      <c r="D189" s="45"/>
      <c r="E189" s="258"/>
      <c r="F189" s="45"/>
      <c r="G189" s="474"/>
      <c r="H189" s="475"/>
      <c r="I189" s="373"/>
      <c r="J189" s="45"/>
      <c r="K189" s="45"/>
    </row>
    <row r="190">
      <c r="A190" s="45"/>
      <c r="B190" s="45"/>
      <c r="C190" s="45"/>
      <c r="D190" s="45"/>
      <c r="E190" s="258"/>
      <c r="F190" s="45"/>
      <c r="G190" s="474"/>
      <c r="H190" s="475"/>
      <c r="I190" s="373"/>
      <c r="J190" s="45"/>
      <c r="K190" s="45"/>
    </row>
    <row r="191">
      <c r="A191" s="45"/>
      <c r="B191" s="45"/>
      <c r="C191" s="45"/>
      <c r="D191" s="45"/>
      <c r="E191" s="258"/>
      <c r="F191" s="45"/>
      <c r="G191" s="474"/>
      <c r="H191" s="475"/>
      <c r="I191" s="373"/>
      <c r="J191" s="45"/>
      <c r="K191" s="45"/>
    </row>
    <row r="192">
      <c r="A192" s="45"/>
      <c r="B192" s="45"/>
      <c r="C192" s="45"/>
      <c r="D192" s="45"/>
      <c r="E192" s="258"/>
      <c r="F192" s="45"/>
      <c r="G192" s="474"/>
      <c r="H192" s="475"/>
      <c r="I192" s="373"/>
      <c r="J192" s="45"/>
      <c r="K192" s="45"/>
    </row>
    <row r="193">
      <c r="A193" s="45"/>
      <c r="B193" s="45"/>
      <c r="C193" s="45"/>
      <c r="D193" s="45"/>
      <c r="E193" s="258"/>
      <c r="F193" s="45"/>
      <c r="G193" s="474"/>
      <c r="H193" s="475"/>
      <c r="I193" s="373"/>
      <c r="J193" s="45"/>
      <c r="K193" s="45"/>
    </row>
    <row r="194">
      <c r="A194" s="45"/>
      <c r="B194" s="45"/>
      <c r="C194" s="45"/>
      <c r="D194" s="45"/>
      <c r="E194" s="258"/>
      <c r="F194" s="45"/>
      <c r="G194" s="474"/>
      <c r="H194" s="475"/>
      <c r="I194" s="373"/>
      <c r="J194" s="45"/>
      <c r="K194" s="45"/>
    </row>
    <row r="195">
      <c r="A195" s="45"/>
      <c r="B195" s="45"/>
      <c r="C195" s="45"/>
      <c r="D195" s="45"/>
      <c r="E195" s="258"/>
      <c r="F195" s="45"/>
      <c r="G195" s="474"/>
      <c r="H195" s="475"/>
      <c r="I195" s="373"/>
      <c r="J195" s="45"/>
      <c r="K195" s="45"/>
    </row>
    <row r="196">
      <c r="A196" s="45"/>
      <c r="B196" s="45"/>
      <c r="C196" s="45"/>
      <c r="D196" s="45"/>
      <c r="E196" s="258"/>
      <c r="F196" s="45"/>
      <c r="G196" s="474"/>
      <c r="H196" s="475"/>
      <c r="I196" s="373"/>
      <c r="J196" s="45"/>
      <c r="K196" s="45"/>
    </row>
    <row r="197">
      <c r="A197" s="45"/>
      <c r="B197" s="45"/>
      <c r="C197" s="45"/>
      <c r="D197" s="45"/>
      <c r="E197" s="258"/>
      <c r="F197" s="45"/>
      <c r="G197" s="474"/>
      <c r="H197" s="475"/>
      <c r="I197" s="373"/>
      <c r="J197" s="45"/>
      <c r="K197" s="45"/>
    </row>
    <row r="198">
      <c r="A198" s="45"/>
      <c r="B198" s="45"/>
      <c r="C198" s="45"/>
      <c r="D198" s="45"/>
      <c r="E198" s="258"/>
      <c r="F198" s="45"/>
      <c r="G198" s="474"/>
      <c r="H198" s="475"/>
      <c r="I198" s="373"/>
      <c r="J198" s="45"/>
      <c r="K198" s="45"/>
    </row>
    <row r="199">
      <c r="A199" s="45"/>
      <c r="B199" s="45"/>
      <c r="C199" s="45"/>
      <c r="D199" s="45"/>
      <c r="E199" s="258"/>
      <c r="F199" s="45"/>
      <c r="G199" s="474"/>
      <c r="H199" s="475"/>
      <c r="I199" s="373"/>
      <c r="J199" s="45"/>
      <c r="K199" s="45"/>
    </row>
    <row r="200">
      <c r="A200" s="45"/>
      <c r="B200" s="45"/>
      <c r="C200" s="45"/>
      <c r="D200" s="45"/>
      <c r="E200" s="258"/>
      <c r="F200" s="45"/>
      <c r="G200" s="474"/>
      <c r="H200" s="475"/>
      <c r="I200" s="373"/>
      <c r="J200" s="45"/>
      <c r="K200" s="45"/>
    </row>
    <row r="201">
      <c r="A201" s="45"/>
      <c r="B201" s="45"/>
      <c r="C201" s="45"/>
      <c r="D201" s="45"/>
      <c r="E201" s="258"/>
      <c r="F201" s="45"/>
      <c r="G201" s="474"/>
      <c r="H201" s="475"/>
      <c r="I201" s="373"/>
      <c r="J201" s="45"/>
      <c r="K201" s="45"/>
    </row>
    <row r="202">
      <c r="A202" s="45"/>
      <c r="B202" s="45"/>
      <c r="C202" s="45"/>
      <c r="D202" s="45"/>
      <c r="E202" s="258"/>
      <c r="F202" s="45"/>
      <c r="G202" s="474"/>
      <c r="H202" s="475"/>
      <c r="I202" s="373"/>
      <c r="J202" s="45"/>
      <c r="K202" s="45"/>
    </row>
    <row r="203">
      <c r="A203" s="45"/>
      <c r="B203" s="45"/>
      <c r="C203" s="45"/>
      <c r="D203" s="45"/>
      <c r="E203" s="258"/>
      <c r="F203" s="45"/>
      <c r="G203" s="474"/>
      <c r="H203" s="475"/>
      <c r="I203" s="373"/>
      <c r="J203" s="45"/>
      <c r="K203" s="45"/>
    </row>
    <row r="204">
      <c r="A204" s="45"/>
      <c r="B204" s="45"/>
      <c r="C204" s="45"/>
      <c r="D204" s="45"/>
      <c r="E204" s="258"/>
      <c r="F204" s="45"/>
      <c r="G204" s="474"/>
      <c r="H204" s="475"/>
      <c r="I204" s="373"/>
      <c r="J204" s="45"/>
      <c r="K204" s="45"/>
    </row>
    <row r="205">
      <c r="A205" s="45"/>
      <c r="B205" s="45"/>
      <c r="C205" s="45"/>
      <c r="D205" s="45"/>
      <c r="E205" s="258"/>
      <c r="F205" s="45"/>
      <c r="G205" s="474"/>
      <c r="H205" s="475"/>
      <c r="I205" s="373"/>
      <c r="J205" s="45"/>
      <c r="K205" s="45"/>
    </row>
    <row r="206">
      <c r="A206" s="45"/>
      <c r="B206" s="45"/>
      <c r="C206" s="45"/>
      <c r="D206" s="45"/>
      <c r="E206" s="258"/>
      <c r="F206" s="45"/>
      <c r="G206" s="474"/>
      <c r="H206" s="475"/>
      <c r="I206" s="373"/>
      <c r="J206" s="45"/>
      <c r="K206" s="45"/>
    </row>
    <row r="207">
      <c r="A207" s="45"/>
      <c r="B207" s="45"/>
      <c r="C207" s="45"/>
      <c r="D207" s="45"/>
      <c r="E207" s="258"/>
      <c r="F207" s="45"/>
      <c r="G207" s="474"/>
      <c r="H207" s="475"/>
      <c r="I207" s="373"/>
      <c r="J207" s="45"/>
      <c r="K207" s="45"/>
    </row>
    <row r="208">
      <c r="A208" s="45"/>
      <c r="B208" s="45"/>
      <c r="C208" s="45"/>
      <c r="D208" s="45"/>
      <c r="E208" s="258"/>
      <c r="F208" s="45"/>
      <c r="G208" s="474"/>
      <c r="H208" s="475"/>
      <c r="I208" s="373"/>
      <c r="J208" s="45"/>
      <c r="K208" s="45"/>
    </row>
    <row r="209">
      <c r="A209" s="45"/>
      <c r="B209" s="45"/>
      <c r="C209" s="45"/>
      <c r="D209" s="45"/>
      <c r="E209" s="258"/>
      <c r="F209" s="45"/>
      <c r="G209" s="474"/>
      <c r="H209" s="475"/>
      <c r="I209" s="373"/>
      <c r="J209" s="45"/>
      <c r="K209" s="45"/>
    </row>
    <row r="210">
      <c r="A210" s="45"/>
      <c r="B210" s="45"/>
      <c r="C210" s="45"/>
      <c r="D210" s="45"/>
      <c r="E210" s="258"/>
      <c r="F210" s="45"/>
      <c r="G210" s="474"/>
      <c r="H210" s="475"/>
      <c r="I210" s="373"/>
      <c r="J210" s="45"/>
      <c r="K210" s="45"/>
    </row>
    <row r="211">
      <c r="A211" s="45"/>
      <c r="B211" s="45"/>
      <c r="C211" s="45"/>
      <c r="D211" s="45"/>
      <c r="E211" s="258"/>
      <c r="F211" s="45"/>
      <c r="G211" s="474"/>
      <c r="H211" s="475"/>
      <c r="I211" s="373"/>
      <c r="J211" s="45"/>
      <c r="K211" s="45"/>
    </row>
    <row r="212">
      <c r="A212" s="45"/>
      <c r="B212" s="45"/>
      <c r="C212" s="45"/>
      <c r="D212" s="45"/>
      <c r="E212" s="258"/>
      <c r="F212" s="45"/>
      <c r="G212" s="474"/>
      <c r="H212" s="475"/>
      <c r="I212" s="373"/>
      <c r="J212" s="45"/>
      <c r="K212" s="45"/>
    </row>
    <row r="213">
      <c r="A213" s="45"/>
      <c r="B213" s="45"/>
      <c r="C213" s="45"/>
      <c r="D213" s="45"/>
      <c r="E213" s="258"/>
      <c r="F213" s="45"/>
      <c r="G213" s="474"/>
      <c r="H213" s="475"/>
      <c r="I213" s="373"/>
      <c r="J213" s="45"/>
      <c r="K213" s="45"/>
    </row>
    <row r="214">
      <c r="A214" s="45"/>
      <c r="B214" s="45"/>
      <c r="C214" s="45"/>
      <c r="D214" s="45"/>
      <c r="E214" s="258"/>
      <c r="F214" s="45"/>
      <c r="G214" s="474"/>
      <c r="H214" s="475"/>
      <c r="I214" s="373"/>
      <c r="J214" s="45"/>
      <c r="K214" s="45"/>
    </row>
    <row r="215">
      <c r="A215" s="45"/>
      <c r="B215" s="45"/>
      <c r="C215" s="45"/>
      <c r="D215" s="45"/>
      <c r="E215" s="258"/>
      <c r="F215" s="45"/>
      <c r="G215" s="474"/>
      <c r="H215" s="475"/>
      <c r="I215" s="373"/>
      <c r="J215" s="45"/>
      <c r="K215" s="45"/>
    </row>
    <row r="216">
      <c r="A216" s="45"/>
      <c r="B216" s="45"/>
      <c r="C216" s="45"/>
      <c r="D216" s="45"/>
      <c r="E216" s="258"/>
      <c r="F216" s="45"/>
      <c r="G216" s="474"/>
      <c r="H216" s="475"/>
      <c r="I216" s="373"/>
      <c r="J216" s="45"/>
      <c r="K216" s="45"/>
    </row>
    <row r="217">
      <c r="A217" s="45"/>
      <c r="B217" s="45"/>
      <c r="C217" s="45"/>
      <c r="D217" s="45"/>
      <c r="E217" s="258"/>
      <c r="F217" s="45"/>
      <c r="G217" s="474"/>
      <c r="H217" s="475"/>
      <c r="I217" s="373"/>
      <c r="J217" s="45"/>
      <c r="K217" s="45"/>
    </row>
    <row r="218">
      <c r="A218" s="45"/>
      <c r="B218" s="45"/>
      <c r="C218" s="45"/>
      <c r="D218" s="45"/>
      <c r="E218" s="258"/>
      <c r="F218" s="45"/>
      <c r="G218" s="474"/>
      <c r="H218" s="475"/>
      <c r="I218" s="373"/>
      <c r="J218" s="45"/>
      <c r="K218" s="45"/>
    </row>
    <row r="219">
      <c r="A219" s="45"/>
      <c r="B219" s="45"/>
      <c r="C219" s="45"/>
      <c r="D219" s="45"/>
      <c r="E219" s="258"/>
      <c r="F219" s="45"/>
      <c r="G219" s="474"/>
      <c r="H219" s="475"/>
      <c r="I219" s="373"/>
      <c r="J219" s="45"/>
      <c r="K219" s="45"/>
    </row>
    <row r="220">
      <c r="A220" s="45"/>
      <c r="B220" s="45"/>
      <c r="C220" s="45"/>
      <c r="D220" s="45"/>
      <c r="E220" s="258"/>
      <c r="F220" s="45"/>
      <c r="G220" s="474"/>
      <c r="H220" s="475"/>
      <c r="I220" s="373"/>
      <c r="J220" s="45"/>
      <c r="K220" s="45"/>
    </row>
    <row r="221">
      <c r="A221" s="45"/>
      <c r="B221" s="45"/>
      <c r="C221" s="45"/>
      <c r="D221" s="45"/>
      <c r="E221" s="258"/>
      <c r="F221" s="45"/>
      <c r="G221" s="474"/>
      <c r="H221" s="475"/>
      <c r="I221" s="373"/>
      <c r="J221" s="45"/>
      <c r="K221" s="45"/>
    </row>
    <row r="222">
      <c r="A222" s="45"/>
      <c r="B222" s="45"/>
      <c r="C222" s="45"/>
      <c r="D222" s="45"/>
      <c r="E222" s="258"/>
      <c r="F222" s="45"/>
      <c r="G222" s="474"/>
      <c r="H222" s="475"/>
      <c r="I222" s="373"/>
      <c r="J222" s="45"/>
      <c r="K222" s="45"/>
    </row>
    <row r="223">
      <c r="A223" s="45"/>
      <c r="B223" s="45"/>
      <c r="C223" s="45"/>
      <c r="D223" s="45"/>
      <c r="E223" s="258"/>
      <c r="F223" s="45"/>
      <c r="G223" s="474"/>
      <c r="H223" s="475"/>
      <c r="I223" s="373"/>
      <c r="J223" s="45"/>
      <c r="K223" s="45"/>
    </row>
    <row r="224">
      <c r="A224" s="45"/>
      <c r="B224" s="45"/>
      <c r="C224" s="45"/>
      <c r="D224" s="45"/>
      <c r="E224" s="258"/>
      <c r="F224" s="45"/>
      <c r="G224" s="474"/>
      <c r="H224" s="475"/>
      <c r="I224" s="373"/>
      <c r="J224" s="45"/>
      <c r="K224" s="45"/>
    </row>
    <row r="225">
      <c r="A225" s="45"/>
      <c r="B225" s="45"/>
      <c r="C225" s="45"/>
      <c r="D225" s="45"/>
      <c r="E225" s="258"/>
      <c r="F225" s="45"/>
      <c r="G225" s="474"/>
      <c r="H225" s="475"/>
      <c r="I225" s="373"/>
      <c r="J225" s="45"/>
      <c r="K225" s="45"/>
    </row>
    <row r="226">
      <c r="A226" s="45"/>
      <c r="B226" s="45"/>
      <c r="C226" s="45"/>
      <c r="D226" s="45"/>
      <c r="E226" s="258"/>
      <c r="F226" s="45"/>
      <c r="G226" s="474"/>
      <c r="H226" s="475"/>
      <c r="I226" s="373"/>
      <c r="J226" s="45"/>
      <c r="K226" s="45"/>
    </row>
    <row r="227">
      <c r="A227" s="45"/>
      <c r="B227" s="45"/>
      <c r="C227" s="45"/>
      <c r="D227" s="45"/>
      <c r="E227" s="258"/>
      <c r="F227" s="45"/>
      <c r="G227" s="474"/>
      <c r="H227" s="475"/>
      <c r="I227" s="373"/>
      <c r="J227" s="45"/>
      <c r="K227" s="45"/>
    </row>
    <row r="228">
      <c r="A228" s="45"/>
      <c r="B228" s="45"/>
      <c r="C228" s="45"/>
      <c r="D228" s="45"/>
      <c r="E228" s="258"/>
      <c r="F228" s="45"/>
      <c r="G228" s="474"/>
      <c r="H228" s="475"/>
      <c r="I228" s="373"/>
      <c r="J228" s="45"/>
      <c r="K228" s="45"/>
    </row>
    <row r="229">
      <c r="A229" s="45"/>
      <c r="B229" s="45"/>
      <c r="C229" s="45"/>
      <c r="D229" s="45"/>
      <c r="E229" s="258"/>
      <c r="F229" s="45"/>
      <c r="G229" s="474"/>
      <c r="H229" s="475"/>
      <c r="I229" s="373"/>
      <c r="J229" s="45"/>
      <c r="K229" s="45"/>
    </row>
    <row r="230">
      <c r="A230" s="45"/>
      <c r="B230" s="45"/>
      <c r="C230" s="45"/>
      <c r="D230" s="45"/>
      <c r="E230" s="258"/>
      <c r="F230" s="45"/>
      <c r="G230" s="474"/>
      <c r="H230" s="475"/>
      <c r="I230" s="373"/>
      <c r="J230" s="45"/>
      <c r="K230" s="45"/>
    </row>
    <row r="231">
      <c r="A231" s="45"/>
      <c r="B231" s="45"/>
      <c r="C231" s="45"/>
      <c r="D231" s="45"/>
      <c r="E231" s="258"/>
      <c r="F231" s="45"/>
      <c r="G231" s="474"/>
      <c r="H231" s="475"/>
      <c r="I231" s="373"/>
      <c r="J231" s="45"/>
      <c r="K231" s="45"/>
    </row>
    <row r="232">
      <c r="A232" s="45"/>
      <c r="B232" s="45"/>
      <c r="C232" s="45"/>
      <c r="D232" s="45"/>
      <c r="E232" s="258"/>
      <c r="F232" s="45"/>
      <c r="G232" s="474"/>
      <c r="H232" s="475"/>
      <c r="I232" s="373"/>
      <c r="J232" s="45"/>
      <c r="K232" s="45"/>
    </row>
    <row r="233">
      <c r="A233" s="45"/>
      <c r="B233" s="45"/>
      <c r="C233" s="45"/>
      <c r="D233" s="45"/>
      <c r="E233" s="258"/>
      <c r="F233" s="45"/>
      <c r="G233" s="474"/>
      <c r="H233" s="475"/>
      <c r="I233" s="373"/>
      <c r="J233" s="45"/>
      <c r="K233" s="45"/>
    </row>
    <row r="234">
      <c r="A234" s="45"/>
      <c r="B234" s="45"/>
      <c r="C234" s="45"/>
      <c r="D234" s="45"/>
      <c r="E234" s="258"/>
      <c r="F234" s="45"/>
      <c r="G234" s="474"/>
      <c r="H234" s="475"/>
      <c r="I234" s="373"/>
      <c r="J234" s="45"/>
      <c r="K234" s="45"/>
    </row>
    <row r="235">
      <c r="A235" s="45"/>
      <c r="B235" s="45"/>
      <c r="C235" s="45"/>
      <c r="D235" s="45"/>
      <c r="E235" s="258"/>
      <c r="F235" s="45"/>
      <c r="G235" s="474"/>
      <c r="H235" s="475"/>
      <c r="I235" s="373"/>
      <c r="J235" s="45"/>
      <c r="K235" s="45"/>
    </row>
    <row r="236">
      <c r="A236" s="45"/>
      <c r="B236" s="45"/>
      <c r="C236" s="45"/>
      <c r="D236" s="45"/>
      <c r="E236" s="258"/>
      <c r="F236" s="45"/>
      <c r="G236" s="474"/>
      <c r="H236" s="475"/>
      <c r="I236" s="373"/>
      <c r="J236" s="45"/>
      <c r="K236" s="45"/>
    </row>
    <row r="237">
      <c r="A237" s="45"/>
      <c r="B237" s="45"/>
      <c r="C237" s="45"/>
      <c r="D237" s="45"/>
      <c r="E237" s="258"/>
      <c r="F237" s="45"/>
      <c r="G237" s="474"/>
      <c r="H237" s="475"/>
      <c r="I237" s="373"/>
      <c r="J237" s="45"/>
      <c r="K237" s="45"/>
    </row>
    <row r="238">
      <c r="A238" s="45"/>
      <c r="B238" s="45"/>
      <c r="C238" s="45"/>
      <c r="D238" s="45"/>
      <c r="E238" s="258"/>
      <c r="F238" s="45"/>
      <c r="G238" s="474"/>
      <c r="H238" s="475"/>
      <c r="I238" s="373"/>
      <c r="J238" s="45"/>
      <c r="K238" s="45"/>
    </row>
    <row r="239">
      <c r="A239" s="45"/>
      <c r="B239" s="45"/>
      <c r="C239" s="45"/>
      <c r="D239" s="45"/>
      <c r="E239" s="258"/>
      <c r="F239" s="45"/>
      <c r="G239" s="474"/>
      <c r="H239" s="475"/>
      <c r="I239" s="373"/>
      <c r="J239" s="45"/>
      <c r="K239" s="45"/>
    </row>
    <row r="240">
      <c r="A240" s="45"/>
      <c r="B240" s="45"/>
      <c r="C240" s="45"/>
      <c r="D240" s="45"/>
      <c r="E240" s="258"/>
      <c r="F240" s="45"/>
      <c r="G240" s="474"/>
      <c r="H240" s="475"/>
      <c r="I240" s="373"/>
      <c r="J240" s="45"/>
      <c r="K240" s="45"/>
    </row>
    <row r="241">
      <c r="A241" s="45"/>
      <c r="B241" s="45"/>
      <c r="C241" s="45"/>
      <c r="D241" s="45"/>
      <c r="E241" s="258"/>
      <c r="F241" s="45"/>
      <c r="G241" s="474"/>
      <c r="H241" s="475"/>
      <c r="I241" s="373"/>
      <c r="J241" s="45"/>
      <c r="K241" s="45"/>
    </row>
    <row r="242">
      <c r="A242" s="45"/>
      <c r="B242" s="45"/>
      <c r="C242" s="45"/>
      <c r="D242" s="45"/>
      <c r="E242" s="258"/>
      <c r="F242" s="45"/>
      <c r="G242" s="474"/>
      <c r="H242" s="475"/>
      <c r="I242" s="373"/>
      <c r="J242" s="45"/>
      <c r="K242" s="45"/>
    </row>
    <row r="243">
      <c r="A243" s="45"/>
      <c r="B243" s="45"/>
      <c r="C243" s="45"/>
      <c r="D243" s="45"/>
      <c r="E243" s="258"/>
      <c r="F243" s="45"/>
      <c r="G243" s="474"/>
      <c r="H243" s="475"/>
      <c r="I243" s="373"/>
      <c r="J243" s="45"/>
      <c r="K243" s="45"/>
    </row>
    <row r="244">
      <c r="A244" s="45"/>
      <c r="B244" s="45"/>
      <c r="C244" s="45"/>
      <c r="D244" s="45"/>
      <c r="E244" s="258"/>
      <c r="F244" s="45"/>
      <c r="G244" s="474"/>
      <c r="H244" s="475"/>
      <c r="I244" s="373"/>
      <c r="J244" s="45"/>
      <c r="K244" s="45"/>
    </row>
    <row r="245">
      <c r="A245" s="45"/>
      <c r="B245" s="45"/>
      <c r="C245" s="45"/>
      <c r="D245" s="45"/>
      <c r="E245" s="258"/>
      <c r="F245" s="45"/>
      <c r="G245" s="474"/>
      <c r="H245" s="475"/>
      <c r="I245" s="373"/>
      <c r="J245" s="45"/>
      <c r="K245" s="45"/>
    </row>
    <row r="246">
      <c r="A246" s="45"/>
      <c r="B246" s="45"/>
      <c r="C246" s="45"/>
      <c r="D246" s="45"/>
      <c r="E246" s="258"/>
      <c r="F246" s="45"/>
      <c r="G246" s="474"/>
      <c r="H246" s="475"/>
      <c r="I246" s="373"/>
      <c r="J246" s="45"/>
      <c r="K246" s="45"/>
    </row>
    <row r="247">
      <c r="A247" s="45"/>
      <c r="B247" s="45"/>
      <c r="C247" s="45"/>
      <c r="D247" s="45"/>
      <c r="E247" s="258"/>
      <c r="F247" s="45"/>
      <c r="G247" s="474"/>
      <c r="H247" s="475"/>
      <c r="I247" s="373"/>
      <c r="J247" s="45"/>
      <c r="K247" s="45"/>
    </row>
    <row r="248">
      <c r="A248" s="45"/>
      <c r="B248" s="45"/>
      <c r="C248" s="45"/>
      <c r="D248" s="45"/>
      <c r="E248" s="258"/>
      <c r="F248" s="45"/>
      <c r="G248" s="474"/>
      <c r="H248" s="475"/>
      <c r="I248" s="373"/>
      <c r="J248" s="45"/>
      <c r="K248" s="45"/>
    </row>
    <row r="249">
      <c r="A249" s="45"/>
      <c r="B249" s="45"/>
      <c r="C249" s="45"/>
      <c r="D249" s="45"/>
      <c r="E249" s="258"/>
      <c r="F249" s="45"/>
      <c r="G249" s="474"/>
      <c r="H249" s="475"/>
      <c r="I249" s="373"/>
      <c r="J249" s="45"/>
      <c r="K249" s="45"/>
    </row>
    <row r="250">
      <c r="A250" s="45"/>
      <c r="B250" s="45"/>
      <c r="C250" s="45"/>
      <c r="D250" s="45"/>
      <c r="E250" s="258"/>
      <c r="F250" s="45"/>
      <c r="G250" s="474"/>
      <c r="H250" s="475"/>
      <c r="I250" s="373"/>
      <c r="J250" s="45"/>
      <c r="K250" s="45"/>
    </row>
    <row r="251">
      <c r="A251" s="45"/>
      <c r="B251" s="45"/>
      <c r="C251" s="45"/>
      <c r="D251" s="45"/>
      <c r="E251" s="258"/>
      <c r="F251" s="45"/>
      <c r="G251" s="474"/>
      <c r="H251" s="475"/>
      <c r="I251" s="373"/>
      <c r="J251" s="45"/>
      <c r="K251" s="45"/>
    </row>
    <row r="252">
      <c r="A252" s="45"/>
      <c r="B252" s="45"/>
      <c r="C252" s="45"/>
      <c r="D252" s="45"/>
      <c r="E252" s="258"/>
      <c r="F252" s="45"/>
      <c r="G252" s="474"/>
      <c r="H252" s="475"/>
      <c r="I252" s="373"/>
      <c r="J252" s="45"/>
      <c r="K252" s="45"/>
    </row>
    <row r="253">
      <c r="A253" s="45"/>
      <c r="B253" s="45"/>
      <c r="C253" s="45"/>
      <c r="D253" s="45"/>
      <c r="E253" s="258"/>
      <c r="F253" s="45"/>
      <c r="G253" s="474"/>
      <c r="H253" s="475"/>
      <c r="I253" s="373"/>
      <c r="J253" s="45"/>
      <c r="K253" s="45"/>
    </row>
    <row r="254">
      <c r="A254" s="45"/>
      <c r="B254" s="45"/>
      <c r="C254" s="45"/>
      <c r="D254" s="45"/>
      <c r="E254" s="258"/>
      <c r="F254" s="45"/>
      <c r="G254" s="474"/>
      <c r="H254" s="475"/>
      <c r="I254" s="373"/>
      <c r="J254" s="45"/>
      <c r="K254" s="45"/>
    </row>
    <row r="255">
      <c r="A255" s="45"/>
      <c r="B255" s="45"/>
      <c r="C255" s="45"/>
      <c r="D255" s="45"/>
      <c r="E255" s="258"/>
      <c r="F255" s="45"/>
      <c r="G255" s="474"/>
      <c r="H255" s="475"/>
      <c r="I255" s="373"/>
      <c r="J255" s="45"/>
      <c r="K255" s="45"/>
    </row>
    <row r="256">
      <c r="A256" s="45"/>
      <c r="B256" s="45"/>
      <c r="C256" s="45"/>
      <c r="D256" s="45"/>
      <c r="E256" s="258"/>
      <c r="F256" s="45"/>
      <c r="G256" s="474"/>
      <c r="H256" s="475"/>
      <c r="I256" s="373"/>
      <c r="J256" s="45"/>
      <c r="K256" s="45"/>
    </row>
    <row r="257">
      <c r="A257" s="45"/>
      <c r="B257" s="45"/>
      <c r="C257" s="45"/>
      <c r="D257" s="45"/>
      <c r="E257" s="258"/>
      <c r="F257" s="45"/>
      <c r="G257" s="474"/>
      <c r="H257" s="475"/>
      <c r="I257" s="373"/>
      <c r="J257" s="45"/>
      <c r="K257" s="45"/>
    </row>
    <row r="258">
      <c r="A258" s="45"/>
      <c r="B258" s="45"/>
      <c r="C258" s="45"/>
      <c r="D258" s="45"/>
      <c r="E258" s="258"/>
      <c r="F258" s="45"/>
      <c r="G258" s="474"/>
      <c r="H258" s="475"/>
      <c r="I258" s="373"/>
      <c r="J258" s="45"/>
      <c r="K258" s="45"/>
    </row>
    <row r="259">
      <c r="A259" s="45"/>
      <c r="B259" s="45"/>
      <c r="C259" s="45"/>
      <c r="D259" s="45"/>
      <c r="E259" s="258"/>
      <c r="F259" s="45"/>
      <c r="G259" s="474"/>
      <c r="H259" s="475"/>
      <c r="I259" s="373"/>
      <c r="J259" s="45"/>
      <c r="K259" s="45"/>
    </row>
    <row r="260">
      <c r="A260" s="45"/>
      <c r="B260" s="45"/>
      <c r="C260" s="45"/>
      <c r="D260" s="45"/>
      <c r="E260" s="258"/>
      <c r="F260" s="45"/>
      <c r="G260" s="474"/>
      <c r="H260" s="475"/>
      <c r="I260" s="373"/>
      <c r="J260" s="45"/>
      <c r="K260" s="45"/>
    </row>
    <row r="261">
      <c r="A261" s="45"/>
      <c r="B261" s="45"/>
      <c r="C261" s="45"/>
      <c r="D261" s="45"/>
      <c r="E261" s="258"/>
      <c r="F261" s="45"/>
      <c r="G261" s="474"/>
      <c r="H261" s="475"/>
      <c r="I261" s="373"/>
      <c r="J261" s="45"/>
      <c r="K261" s="45"/>
    </row>
    <row r="262">
      <c r="A262" s="45"/>
      <c r="B262" s="45"/>
      <c r="C262" s="45"/>
      <c r="D262" s="45"/>
      <c r="E262" s="258"/>
      <c r="F262" s="45"/>
      <c r="G262" s="474"/>
      <c r="H262" s="475"/>
      <c r="I262" s="373"/>
      <c r="J262" s="45"/>
      <c r="K262" s="45"/>
    </row>
    <row r="263">
      <c r="A263" s="45"/>
      <c r="B263" s="45"/>
      <c r="C263" s="45"/>
      <c r="D263" s="45"/>
      <c r="E263" s="258"/>
      <c r="F263" s="45"/>
      <c r="G263" s="474"/>
      <c r="H263" s="475"/>
      <c r="I263" s="373"/>
      <c r="J263" s="45"/>
      <c r="K263" s="45"/>
    </row>
    <row r="264">
      <c r="A264" s="45"/>
      <c r="B264" s="45"/>
      <c r="C264" s="45"/>
      <c r="D264" s="45"/>
      <c r="E264" s="258"/>
      <c r="F264" s="45"/>
      <c r="G264" s="474"/>
      <c r="H264" s="475"/>
      <c r="I264" s="373"/>
      <c r="J264" s="45"/>
      <c r="K264" s="45"/>
    </row>
    <row r="265">
      <c r="A265" s="45"/>
      <c r="B265" s="45"/>
      <c r="C265" s="45"/>
      <c r="D265" s="45"/>
      <c r="E265" s="258"/>
      <c r="F265" s="45"/>
      <c r="G265" s="474"/>
      <c r="H265" s="475"/>
      <c r="I265" s="373"/>
      <c r="J265" s="45"/>
      <c r="K265" s="45"/>
    </row>
    <row r="266">
      <c r="A266" s="45"/>
      <c r="B266" s="45"/>
      <c r="C266" s="45"/>
      <c r="D266" s="45"/>
      <c r="E266" s="258"/>
      <c r="F266" s="45"/>
      <c r="G266" s="474"/>
      <c r="H266" s="475"/>
      <c r="I266" s="373"/>
      <c r="J266" s="45"/>
      <c r="K266" s="45"/>
    </row>
    <row r="267">
      <c r="A267" s="45"/>
      <c r="B267" s="45"/>
      <c r="C267" s="45"/>
      <c r="D267" s="45"/>
      <c r="E267" s="258"/>
      <c r="F267" s="45"/>
      <c r="G267" s="474"/>
      <c r="H267" s="475"/>
      <c r="I267" s="373"/>
      <c r="J267" s="45"/>
      <c r="K267" s="45"/>
    </row>
    <row r="268">
      <c r="A268" s="45"/>
      <c r="B268" s="45"/>
      <c r="C268" s="45"/>
      <c r="D268" s="45"/>
      <c r="E268" s="258"/>
      <c r="F268" s="45"/>
      <c r="G268" s="474"/>
      <c r="H268" s="475"/>
      <c r="I268" s="373"/>
      <c r="J268" s="45"/>
      <c r="K268" s="45"/>
    </row>
    <row r="269">
      <c r="A269" s="45"/>
      <c r="B269" s="45"/>
      <c r="C269" s="45"/>
      <c r="D269" s="45"/>
      <c r="E269" s="258"/>
      <c r="F269" s="45"/>
      <c r="G269" s="474"/>
      <c r="H269" s="475"/>
      <c r="I269" s="373"/>
      <c r="J269" s="45"/>
      <c r="K269" s="45"/>
    </row>
    <row r="270">
      <c r="A270" s="45"/>
      <c r="B270" s="45"/>
      <c r="C270" s="45"/>
      <c r="D270" s="45"/>
      <c r="E270" s="258"/>
      <c r="F270" s="45"/>
      <c r="G270" s="474"/>
      <c r="H270" s="475"/>
      <c r="I270" s="373"/>
      <c r="J270" s="45"/>
      <c r="K270" s="45"/>
    </row>
    <row r="271">
      <c r="A271" s="45"/>
      <c r="B271" s="45"/>
      <c r="C271" s="45"/>
      <c r="D271" s="45"/>
      <c r="E271" s="258"/>
      <c r="F271" s="45"/>
      <c r="G271" s="474"/>
      <c r="H271" s="475"/>
      <c r="I271" s="373"/>
      <c r="J271" s="45"/>
      <c r="K271" s="45"/>
    </row>
    <row r="272">
      <c r="A272" s="45"/>
      <c r="B272" s="45"/>
      <c r="C272" s="45"/>
      <c r="D272" s="45"/>
      <c r="E272" s="258"/>
      <c r="F272" s="45"/>
      <c r="G272" s="474"/>
      <c r="H272" s="475"/>
      <c r="I272" s="373"/>
      <c r="J272" s="45"/>
      <c r="K272" s="45"/>
    </row>
    <row r="273">
      <c r="A273" s="45"/>
      <c r="B273" s="45"/>
      <c r="C273" s="45"/>
      <c r="D273" s="45"/>
      <c r="E273" s="258"/>
      <c r="F273" s="45"/>
      <c r="G273" s="474"/>
      <c r="H273" s="475"/>
      <c r="I273" s="373"/>
      <c r="J273" s="45"/>
      <c r="K273" s="45"/>
    </row>
    <row r="274">
      <c r="A274" s="45"/>
      <c r="B274" s="45"/>
      <c r="C274" s="45"/>
      <c r="D274" s="45"/>
      <c r="E274" s="258"/>
      <c r="F274" s="45"/>
      <c r="G274" s="474"/>
      <c r="H274" s="475"/>
      <c r="I274" s="373"/>
      <c r="J274" s="45"/>
      <c r="K274" s="45"/>
    </row>
    <row r="275">
      <c r="A275" s="45"/>
      <c r="B275" s="45"/>
      <c r="C275" s="45"/>
      <c r="D275" s="45"/>
      <c r="E275" s="258"/>
      <c r="F275" s="45"/>
      <c r="G275" s="474"/>
      <c r="H275" s="475"/>
      <c r="I275" s="373"/>
      <c r="J275" s="45"/>
      <c r="K275" s="45"/>
    </row>
    <row r="276">
      <c r="A276" s="45"/>
      <c r="B276" s="45"/>
      <c r="C276" s="45"/>
      <c r="D276" s="45"/>
      <c r="E276" s="258"/>
      <c r="F276" s="45"/>
      <c r="G276" s="474"/>
      <c r="H276" s="475"/>
      <c r="I276" s="373"/>
      <c r="J276" s="45"/>
      <c r="K276" s="45"/>
    </row>
    <row r="277">
      <c r="A277" s="45"/>
      <c r="B277" s="45"/>
      <c r="C277" s="45"/>
      <c r="D277" s="45"/>
      <c r="E277" s="258"/>
      <c r="F277" s="45"/>
      <c r="G277" s="474"/>
      <c r="H277" s="475"/>
      <c r="I277" s="373"/>
      <c r="J277" s="45"/>
      <c r="K277" s="45"/>
    </row>
    <row r="278">
      <c r="A278" s="45"/>
      <c r="B278" s="45"/>
      <c r="C278" s="45"/>
      <c r="D278" s="45"/>
      <c r="E278" s="258"/>
      <c r="F278" s="45"/>
      <c r="G278" s="474"/>
      <c r="H278" s="475"/>
      <c r="I278" s="373"/>
      <c r="J278" s="45"/>
      <c r="K278" s="45"/>
    </row>
    <row r="279">
      <c r="A279" s="45"/>
      <c r="B279" s="45"/>
      <c r="C279" s="45"/>
      <c r="D279" s="45"/>
      <c r="E279" s="258"/>
      <c r="F279" s="45"/>
      <c r="G279" s="474"/>
      <c r="H279" s="475"/>
      <c r="I279" s="373"/>
      <c r="J279" s="45"/>
      <c r="K279" s="45"/>
    </row>
    <row r="280">
      <c r="A280" s="45"/>
      <c r="B280" s="45"/>
      <c r="C280" s="45"/>
      <c r="D280" s="45"/>
      <c r="E280" s="258"/>
      <c r="F280" s="45"/>
      <c r="G280" s="474"/>
      <c r="H280" s="475"/>
      <c r="I280" s="373"/>
      <c r="J280" s="45"/>
      <c r="K280" s="45"/>
    </row>
    <row r="281">
      <c r="A281" s="45"/>
      <c r="B281" s="45"/>
      <c r="C281" s="45"/>
      <c r="D281" s="45"/>
      <c r="E281" s="258"/>
      <c r="F281" s="45"/>
      <c r="G281" s="474"/>
      <c r="H281" s="475"/>
      <c r="I281" s="373"/>
      <c r="J281" s="45"/>
      <c r="K281" s="45"/>
    </row>
    <row r="282">
      <c r="A282" s="45"/>
      <c r="B282" s="45"/>
      <c r="C282" s="45"/>
      <c r="D282" s="45"/>
      <c r="E282" s="258"/>
      <c r="F282" s="45"/>
      <c r="G282" s="474"/>
      <c r="H282" s="475"/>
      <c r="I282" s="373"/>
      <c r="J282" s="45"/>
      <c r="K282" s="45"/>
    </row>
    <row r="283">
      <c r="A283" s="45"/>
      <c r="B283" s="45"/>
      <c r="C283" s="45"/>
      <c r="D283" s="45"/>
      <c r="E283" s="258"/>
      <c r="F283" s="45"/>
      <c r="G283" s="474"/>
      <c r="H283" s="475"/>
      <c r="I283" s="373"/>
      <c r="J283" s="45"/>
      <c r="K283" s="45"/>
    </row>
    <row r="284">
      <c r="A284" s="45"/>
      <c r="B284" s="45"/>
      <c r="C284" s="45"/>
      <c r="D284" s="45"/>
      <c r="E284" s="258"/>
      <c r="F284" s="45"/>
      <c r="G284" s="474"/>
      <c r="H284" s="475"/>
      <c r="I284" s="373"/>
      <c r="J284" s="45"/>
      <c r="K284" s="45"/>
    </row>
    <row r="285">
      <c r="A285" s="45"/>
      <c r="B285" s="45"/>
      <c r="C285" s="45"/>
      <c r="D285" s="45"/>
      <c r="E285" s="258"/>
      <c r="F285" s="45"/>
      <c r="G285" s="474"/>
      <c r="H285" s="475"/>
      <c r="I285" s="373"/>
      <c r="J285" s="45"/>
      <c r="K285" s="45"/>
    </row>
    <row r="286">
      <c r="A286" s="45"/>
      <c r="B286" s="45"/>
      <c r="C286" s="45"/>
      <c r="D286" s="45"/>
      <c r="E286" s="258"/>
      <c r="F286" s="45"/>
      <c r="G286" s="474"/>
      <c r="H286" s="475"/>
      <c r="I286" s="373"/>
      <c r="J286" s="45"/>
      <c r="K286" s="45"/>
    </row>
    <row r="287">
      <c r="A287" s="45"/>
      <c r="B287" s="45"/>
      <c r="C287" s="45"/>
      <c r="D287" s="45"/>
      <c r="E287" s="258"/>
      <c r="F287" s="45"/>
      <c r="G287" s="474"/>
      <c r="H287" s="475"/>
      <c r="I287" s="373"/>
      <c r="J287" s="45"/>
      <c r="K287" s="45"/>
    </row>
    <row r="288">
      <c r="A288" s="45"/>
      <c r="B288" s="45"/>
      <c r="C288" s="45"/>
      <c r="D288" s="45"/>
      <c r="E288" s="258"/>
      <c r="F288" s="45"/>
      <c r="G288" s="474"/>
      <c r="H288" s="475"/>
      <c r="I288" s="373"/>
      <c r="J288" s="45"/>
      <c r="K288" s="45"/>
    </row>
    <row r="289">
      <c r="A289" s="45"/>
      <c r="B289" s="45"/>
      <c r="C289" s="45"/>
      <c r="D289" s="45"/>
      <c r="E289" s="258"/>
      <c r="F289" s="45"/>
      <c r="G289" s="474"/>
      <c r="H289" s="475"/>
      <c r="I289" s="373"/>
      <c r="J289" s="45"/>
      <c r="K289" s="45"/>
    </row>
    <row r="290">
      <c r="A290" s="45"/>
      <c r="B290" s="45"/>
      <c r="C290" s="45"/>
      <c r="D290" s="45"/>
      <c r="E290" s="258"/>
      <c r="F290" s="45"/>
      <c r="G290" s="474"/>
      <c r="H290" s="475"/>
      <c r="I290" s="373"/>
      <c r="J290" s="45"/>
      <c r="K290" s="45"/>
    </row>
    <row r="291">
      <c r="A291" s="45"/>
      <c r="B291" s="45"/>
      <c r="C291" s="45"/>
      <c r="D291" s="45"/>
      <c r="E291" s="258"/>
      <c r="F291" s="45"/>
      <c r="G291" s="474"/>
      <c r="H291" s="475"/>
      <c r="I291" s="373"/>
      <c r="J291" s="45"/>
      <c r="K291" s="45"/>
    </row>
    <row r="292">
      <c r="A292" s="45"/>
      <c r="B292" s="45"/>
      <c r="C292" s="45"/>
      <c r="D292" s="45"/>
      <c r="E292" s="258"/>
      <c r="F292" s="45"/>
      <c r="G292" s="474"/>
      <c r="H292" s="475"/>
      <c r="I292" s="373"/>
      <c r="J292" s="45"/>
      <c r="K292" s="45"/>
    </row>
    <row r="293">
      <c r="A293" s="45"/>
      <c r="B293" s="45"/>
      <c r="C293" s="45"/>
      <c r="D293" s="45"/>
      <c r="E293" s="258"/>
      <c r="F293" s="45"/>
      <c r="G293" s="474"/>
      <c r="H293" s="475"/>
      <c r="I293" s="373"/>
      <c r="J293" s="45"/>
      <c r="K293" s="45"/>
    </row>
    <row r="294">
      <c r="A294" s="45"/>
      <c r="B294" s="45"/>
      <c r="C294" s="45"/>
      <c r="D294" s="45"/>
      <c r="E294" s="258"/>
      <c r="F294" s="45"/>
      <c r="G294" s="474"/>
      <c r="H294" s="475"/>
      <c r="I294" s="373"/>
      <c r="J294" s="45"/>
      <c r="K294" s="45"/>
    </row>
    <row r="295">
      <c r="A295" s="45"/>
      <c r="B295" s="45"/>
      <c r="C295" s="45"/>
      <c r="D295" s="45"/>
      <c r="E295" s="258"/>
      <c r="F295" s="45"/>
      <c r="G295" s="474"/>
      <c r="H295" s="475"/>
      <c r="I295" s="373"/>
      <c r="J295" s="45"/>
      <c r="K295" s="45"/>
    </row>
    <row r="296">
      <c r="A296" s="45"/>
      <c r="B296" s="45"/>
      <c r="C296" s="45"/>
      <c r="D296" s="45"/>
      <c r="E296" s="258"/>
      <c r="F296" s="45"/>
      <c r="G296" s="474"/>
      <c r="H296" s="475"/>
      <c r="I296" s="373"/>
      <c r="J296" s="45"/>
      <c r="K296" s="45"/>
    </row>
    <row r="297">
      <c r="A297" s="45"/>
      <c r="B297" s="45"/>
      <c r="C297" s="45"/>
      <c r="D297" s="45"/>
      <c r="E297" s="258"/>
      <c r="F297" s="45"/>
      <c r="G297" s="474"/>
      <c r="H297" s="475"/>
      <c r="I297" s="373"/>
      <c r="J297" s="45"/>
      <c r="K297" s="45"/>
    </row>
    <row r="298">
      <c r="A298" s="45"/>
      <c r="B298" s="45"/>
      <c r="C298" s="45"/>
      <c r="D298" s="45"/>
      <c r="E298" s="258"/>
      <c r="F298" s="45"/>
      <c r="G298" s="474"/>
      <c r="H298" s="475"/>
      <c r="I298" s="373"/>
      <c r="J298" s="45"/>
      <c r="K298" s="45"/>
    </row>
    <row r="299">
      <c r="A299" s="45"/>
      <c r="B299" s="45"/>
      <c r="C299" s="45"/>
      <c r="D299" s="45"/>
      <c r="E299" s="258"/>
      <c r="F299" s="45"/>
      <c r="G299" s="474"/>
      <c r="H299" s="475"/>
      <c r="I299" s="373"/>
      <c r="J299" s="45"/>
      <c r="K299" s="45"/>
    </row>
    <row r="300">
      <c r="A300" s="45"/>
      <c r="B300" s="45"/>
      <c r="C300" s="45"/>
      <c r="D300" s="45"/>
      <c r="E300" s="258"/>
      <c r="F300" s="45"/>
      <c r="G300" s="474"/>
      <c r="H300" s="475"/>
      <c r="I300" s="373"/>
      <c r="J300" s="45"/>
      <c r="K300" s="45"/>
    </row>
    <row r="301">
      <c r="A301" s="45"/>
      <c r="B301" s="45"/>
      <c r="C301" s="45"/>
      <c r="D301" s="45"/>
      <c r="E301" s="258"/>
      <c r="F301" s="45"/>
      <c r="G301" s="474"/>
      <c r="H301" s="475"/>
      <c r="I301" s="373"/>
      <c r="J301" s="45"/>
      <c r="K301" s="45"/>
    </row>
    <row r="302">
      <c r="A302" s="45"/>
      <c r="B302" s="45"/>
      <c r="C302" s="45"/>
      <c r="D302" s="45"/>
      <c r="E302" s="258"/>
      <c r="F302" s="45"/>
      <c r="G302" s="474"/>
      <c r="H302" s="475"/>
      <c r="I302" s="373"/>
      <c r="J302" s="45"/>
      <c r="K302" s="45"/>
    </row>
    <row r="303">
      <c r="A303" s="45"/>
      <c r="B303" s="45"/>
      <c r="C303" s="45"/>
      <c r="D303" s="45"/>
      <c r="E303" s="258"/>
      <c r="F303" s="45"/>
      <c r="G303" s="474"/>
      <c r="H303" s="475"/>
      <c r="I303" s="373"/>
      <c r="J303" s="45"/>
      <c r="K303" s="45"/>
    </row>
    <row r="304">
      <c r="A304" s="45"/>
      <c r="B304" s="45"/>
      <c r="C304" s="45"/>
      <c r="D304" s="45"/>
      <c r="E304" s="258"/>
      <c r="F304" s="45"/>
      <c r="G304" s="474"/>
      <c r="H304" s="475"/>
      <c r="I304" s="373"/>
      <c r="J304" s="45"/>
      <c r="K304" s="45"/>
    </row>
    <row r="305">
      <c r="A305" s="45"/>
      <c r="B305" s="45"/>
      <c r="C305" s="45"/>
      <c r="D305" s="45"/>
      <c r="E305" s="258"/>
      <c r="F305" s="45"/>
      <c r="G305" s="474"/>
      <c r="H305" s="475"/>
      <c r="I305" s="373"/>
      <c r="J305" s="45"/>
      <c r="K305" s="45"/>
    </row>
    <row r="306">
      <c r="A306" s="45"/>
      <c r="B306" s="45"/>
      <c r="C306" s="45"/>
      <c r="D306" s="45"/>
      <c r="E306" s="258"/>
      <c r="F306" s="45"/>
      <c r="G306" s="474"/>
      <c r="H306" s="475"/>
      <c r="I306" s="373"/>
      <c r="J306" s="45"/>
      <c r="K306" s="45"/>
    </row>
    <row r="307">
      <c r="A307" s="45"/>
      <c r="B307" s="45"/>
      <c r="C307" s="45"/>
      <c r="D307" s="45"/>
      <c r="E307" s="258"/>
      <c r="F307" s="45"/>
      <c r="G307" s="474"/>
      <c r="H307" s="475"/>
      <c r="I307" s="373"/>
      <c r="J307" s="45"/>
      <c r="K307" s="45"/>
    </row>
    <row r="308">
      <c r="A308" s="45"/>
      <c r="B308" s="45"/>
      <c r="C308" s="45"/>
      <c r="D308" s="45"/>
      <c r="E308" s="258"/>
      <c r="F308" s="45"/>
      <c r="G308" s="474"/>
      <c r="H308" s="475"/>
      <c r="I308" s="373"/>
      <c r="J308" s="45"/>
      <c r="K308" s="45"/>
    </row>
    <row r="309">
      <c r="A309" s="45"/>
      <c r="B309" s="45"/>
      <c r="C309" s="45"/>
      <c r="D309" s="45"/>
      <c r="E309" s="258"/>
      <c r="F309" s="45"/>
      <c r="G309" s="474"/>
      <c r="H309" s="475"/>
      <c r="I309" s="373"/>
      <c r="J309" s="45"/>
      <c r="K309" s="45"/>
    </row>
    <row r="310">
      <c r="A310" s="45"/>
      <c r="B310" s="45"/>
      <c r="C310" s="45"/>
      <c r="D310" s="45"/>
      <c r="E310" s="258"/>
      <c r="F310" s="45"/>
      <c r="G310" s="474"/>
      <c r="H310" s="475"/>
      <c r="I310" s="373"/>
      <c r="J310" s="45"/>
      <c r="K310" s="45"/>
    </row>
    <row r="311">
      <c r="A311" s="45"/>
      <c r="B311" s="45"/>
      <c r="C311" s="45"/>
      <c r="D311" s="45"/>
      <c r="E311" s="258"/>
      <c r="F311" s="45"/>
      <c r="G311" s="474"/>
      <c r="H311" s="475"/>
      <c r="I311" s="373"/>
      <c r="J311" s="45"/>
      <c r="K311" s="45"/>
    </row>
    <row r="312">
      <c r="A312" s="45"/>
      <c r="B312" s="45"/>
      <c r="C312" s="45"/>
      <c r="D312" s="45"/>
      <c r="E312" s="258"/>
      <c r="F312" s="45"/>
      <c r="G312" s="474"/>
      <c r="H312" s="475"/>
      <c r="I312" s="373"/>
      <c r="J312" s="45"/>
      <c r="K312" s="45"/>
    </row>
    <row r="313">
      <c r="A313" s="45"/>
      <c r="B313" s="45"/>
      <c r="C313" s="45"/>
      <c r="D313" s="45"/>
      <c r="E313" s="258"/>
      <c r="F313" s="45"/>
      <c r="G313" s="474"/>
      <c r="H313" s="475"/>
      <c r="I313" s="373"/>
      <c r="J313" s="45"/>
      <c r="K313" s="45"/>
    </row>
    <row r="314">
      <c r="A314" s="45"/>
      <c r="B314" s="45"/>
      <c r="C314" s="45"/>
      <c r="D314" s="45"/>
      <c r="E314" s="258"/>
      <c r="F314" s="45"/>
      <c r="G314" s="474"/>
      <c r="H314" s="475"/>
      <c r="I314" s="373"/>
      <c r="J314" s="45"/>
      <c r="K314" s="45"/>
    </row>
    <row r="315">
      <c r="A315" s="45"/>
      <c r="B315" s="45"/>
      <c r="C315" s="45"/>
      <c r="D315" s="45"/>
      <c r="E315" s="258"/>
      <c r="F315" s="45"/>
      <c r="G315" s="474"/>
      <c r="H315" s="475"/>
      <c r="I315" s="373"/>
      <c r="J315" s="45"/>
      <c r="K315" s="45"/>
    </row>
    <row r="316">
      <c r="A316" s="45"/>
      <c r="B316" s="45"/>
      <c r="C316" s="45"/>
      <c r="D316" s="45"/>
      <c r="E316" s="258"/>
      <c r="F316" s="45"/>
      <c r="G316" s="474"/>
      <c r="H316" s="475"/>
      <c r="I316" s="373"/>
      <c r="J316" s="45"/>
      <c r="K316" s="45"/>
    </row>
    <row r="317">
      <c r="A317" s="45"/>
      <c r="B317" s="45"/>
      <c r="C317" s="45"/>
      <c r="D317" s="45"/>
      <c r="E317" s="258"/>
      <c r="F317" s="45"/>
      <c r="G317" s="474"/>
      <c r="H317" s="475"/>
      <c r="I317" s="373"/>
      <c r="J317" s="45"/>
      <c r="K317" s="45"/>
    </row>
    <row r="318">
      <c r="A318" s="45"/>
      <c r="B318" s="45"/>
      <c r="C318" s="45"/>
      <c r="D318" s="45"/>
      <c r="E318" s="258"/>
      <c r="F318" s="45"/>
      <c r="G318" s="474"/>
      <c r="H318" s="475"/>
      <c r="I318" s="373"/>
      <c r="J318" s="45"/>
      <c r="K318" s="45"/>
    </row>
    <row r="319">
      <c r="A319" s="45"/>
      <c r="B319" s="45"/>
      <c r="C319" s="45"/>
      <c r="D319" s="45"/>
      <c r="E319" s="258"/>
      <c r="F319" s="45"/>
      <c r="G319" s="474"/>
      <c r="H319" s="475"/>
      <c r="I319" s="373"/>
      <c r="J319" s="45"/>
      <c r="K319" s="45"/>
    </row>
    <row r="320">
      <c r="A320" s="45"/>
      <c r="B320" s="45"/>
      <c r="C320" s="45"/>
      <c r="D320" s="45"/>
      <c r="E320" s="258"/>
      <c r="F320" s="45"/>
      <c r="G320" s="474"/>
      <c r="H320" s="475"/>
      <c r="I320" s="373"/>
      <c r="J320" s="45"/>
      <c r="K320" s="45"/>
    </row>
    <row r="321">
      <c r="A321" s="45"/>
      <c r="B321" s="45"/>
      <c r="C321" s="45"/>
      <c r="D321" s="45"/>
      <c r="E321" s="258"/>
      <c r="F321" s="45"/>
      <c r="G321" s="474"/>
      <c r="H321" s="475"/>
      <c r="I321" s="373"/>
      <c r="J321" s="45"/>
      <c r="K321" s="45"/>
    </row>
    <row r="322">
      <c r="A322" s="45"/>
      <c r="B322" s="45"/>
      <c r="C322" s="45"/>
      <c r="D322" s="45"/>
      <c r="E322" s="258"/>
      <c r="F322" s="45"/>
      <c r="G322" s="474"/>
      <c r="H322" s="475"/>
      <c r="I322" s="373"/>
      <c r="J322" s="45"/>
      <c r="K322" s="45"/>
    </row>
    <row r="323">
      <c r="A323" s="45"/>
      <c r="B323" s="45"/>
      <c r="C323" s="45"/>
      <c r="D323" s="45"/>
      <c r="E323" s="258"/>
      <c r="F323" s="45"/>
      <c r="G323" s="474"/>
      <c r="H323" s="475"/>
      <c r="I323" s="373"/>
      <c r="J323" s="45"/>
      <c r="K323" s="45"/>
    </row>
    <row r="324">
      <c r="A324" s="45"/>
      <c r="B324" s="45"/>
      <c r="C324" s="45"/>
      <c r="D324" s="45"/>
      <c r="E324" s="258"/>
      <c r="F324" s="45"/>
      <c r="G324" s="474"/>
      <c r="H324" s="475"/>
      <c r="I324" s="373"/>
      <c r="J324" s="45"/>
      <c r="K324" s="45"/>
    </row>
    <row r="325">
      <c r="A325" s="45"/>
      <c r="B325" s="45"/>
      <c r="C325" s="45"/>
      <c r="D325" s="45"/>
      <c r="E325" s="258"/>
      <c r="F325" s="45"/>
      <c r="G325" s="474"/>
      <c r="H325" s="475"/>
      <c r="I325" s="373"/>
      <c r="J325" s="45"/>
      <c r="K325" s="45"/>
    </row>
    <row r="326">
      <c r="A326" s="45"/>
      <c r="B326" s="45"/>
      <c r="C326" s="45"/>
      <c r="D326" s="45"/>
      <c r="E326" s="258"/>
      <c r="F326" s="45"/>
      <c r="G326" s="474"/>
      <c r="H326" s="475"/>
      <c r="I326" s="373"/>
      <c r="J326" s="45"/>
      <c r="K326" s="45"/>
    </row>
    <row r="327">
      <c r="A327" s="45"/>
      <c r="B327" s="45"/>
      <c r="C327" s="45"/>
      <c r="D327" s="45"/>
      <c r="E327" s="258"/>
      <c r="F327" s="45"/>
      <c r="G327" s="474"/>
      <c r="H327" s="475"/>
      <c r="I327" s="373"/>
      <c r="J327" s="45"/>
      <c r="K327" s="45"/>
    </row>
    <row r="328">
      <c r="A328" s="45"/>
      <c r="B328" s="45"/>
      <c r="C328" s="45"/>
      <c r="D328" s="45"/>
      <c r="E328" s="258"/>
      <c r="F328" s="45"/>
      <c r="G328" s="474"/>
      <c r="H328" s="475"/>
      <c r="I328" s="373"/>
      <c r="J328" s="45"/>
      <c r="K328" s="45"/>
    </row>
    <row r="329">
      <c r="A329" s="45"/>
      <c r="B329" s="45"/>
      <c r="C329" s="45"/>
      <c r="D329" s="45"/>
      <c r="E329" s="258"/>
      <c r="F329" s="45"/>
      <c r="G329" s="474"/>
      <c r="H329" s="475"/>
      <c r="I329" s="373"/>
      <c r="J329" s="45"/>
      <c r="K329" s="45"/>
    </row>
    <row r="330">
      <c r="A330" s="45"/>
      <c r="B330" s="45"/>
      <c r="C330" s="45"/>
      <c r="D330" s="45"/>
      <c r="E330" s="258"/>
      <c r="F330" s="45"/>
      <c r="G330" s="474"/>
      <c r="H330" s="475"/>
      <c r="I330" s="373"/>
      <c r="J330" s="45"/>
      <c r="K330" s="45"/>
    </row>
    <row r="331">
      <c r="A331" s="45"/>
      <c r="B331" s="45"/>
      <c r="C331" s="45"/>
      <c r="D331" s="45"/>
      <c r="E331" s="258"/>
      <c r="F331" s="45"/>
      <c r="G331" s="474"/>
      <c r="H331" s="475"/>
      <c r="I331" s="373"/>
      <c r="J331" s="45"/>
      <c r="K331" s="45"/>
    </row>
    <row r="332">
      <c r="A332" s="45"/>
      <c r="B332" s="45"/>
      <c r="C332" s="45"/>
      <c r="D332" s="45"/>
      <c r="E332" s="258"/>
      <c r="F332" s="45"/>
      <c r="G332" s="474"/>
      <c r="H332" s="475"/>
      <c r="I332" s="373"/>
      <c r="J332" s="45"/>
      <c r="K332" s="45"/>
    </row>
    <row r="333">
      <c r="A333" s="45"/>
      <c r="B333" s="45"/>
      <c r="C333" s="45"/>
      <c r="D333" s="45"/>
      <c r="E333" s="258"/>
      <c r="F333" s="45"/>
      <c r="G333" s="474"/>
      <c r="H333" s="475"/>
      <c r="I333" s="373"/>
      <c r="J333" s="45"/>
      <c r="K333" s="45"/>
    </row>
    <row r="334">
      <c r="A334" s="45"/>
      <c r="B334" s="45"/>
      <c r="C334" s="45"/>
      <c r="D334" s="45"/>
      <c r="E334" s="258"/>
      <c r="F334" s="45"/>
      <c r="G334" s="474"/>
      <c r="H334" s="475"/>
      <c r="I334" s="373"/>
      <c r="J334" s="45"/>
      <c r="K334" s="45"/>
    </row>
    <row r="335">
      <c r="A335" s="45"/>
      <c r="B335" s="45"/>
      <c r="C335" s="45"/>
      <c r="D335" s="45"/>
      <c r="E335" s="258"/>
      <c r="F335" s="45"/>
      <c r="G335" s="474"/>
      <c r="H335" s="475"/>
      <c r="I335" s="373"/>
      <c r="J335" s="45"/>
      <c r="K335" s="45"/>
    </row>
    <row r="336">
      <c r="A336" s="45"/>
      <c r="B336" s="45"/>
      <c r="C336" s="45"/>
      <c r="D336" s="45"/>
      <c r="E336" s="258"/>
      <c r="F336" s="45"/>
      <c r="G336" s="474"/>
      <c r="H336" s="475"/>
      <c r="I336" s="373"/>
      <c r="J336" s="45"/>
      <c r="K336" s="45"/>
    </row>
    <row r="337">
      <c r="A337" s="45"/>
      <c r="B337" s="45"/>
      <c r="C337" s="45"/>
      <c r="D337" s="45"/>
      <c r="E337" s="258"/>
      <c r="F337" s="45"/>
      <c r="G337" s="474"/>
      <c r="H337" s="475"/>
      <c r="I337" s="373"/>
      <c r="J337" s="45"/>
      <c r="K337" s="45"/>
    </row>
    <row r="338">
      <c r="A338" s="45"/>
      <c r="B338" s="45"/>
      <c r="C338" s="45"/>
      <c r="D338" s="45"/>
      <c r="E338" s="258"/>
      <c r="F338" s="45"/>
      <c r="G338" s="474"/>
      <c r="H338" s="475"/>
      <c r="I338" s="373"/>
      <c r="J338" s="45"/>
      <c r="K338" s="45"/>
    </row>
    <row r="339">
      <c r="A339" s="45"/>
      <c r="B339" s="45"/>
      <c r="C339" s="45"/>
      <c r="D339" s="45"/>
      <c r="E339" s="258"/>
      <c r="F339" s="45"/>
      <c r="G339" s="474"/>
      <c r="H339" s="475"/>
      <c r="I339" s="373"/>
      <c r="J339" s="45"/>
      <c r="K339" s="45"/>
    </row>
    <row r="340">
      <c r="A340" s="45"/>
      <c r="B340" s="45"/>
      <c r="C340" s="45"/>
      <c r="D340" s="45"/>
      <c r="E340" s="258"/>
      <c r="F340" s="45"/>
      <c r="G340" s="474"/>
      <c r="H340" s="475"/>
      <c r="I340" s="373"/>
      <c r="J340" s="45"/>
      <c r="K340" s="45"/>
    </row>
    <row r="341">
      <c r="A341" s="45"/>
      <c r="B341" s="45"/>
      <c r="C341" s="45"/>
      <c r="D341" s="45"/>
      <c r="E341" s="258"/>
      <c r="F341" s="45"/>
      <c r="G341" s="474"/>
      <c r="H341" s="475"/>
      <c r="I341" s="373"/>
      <c r="J341" s="45"/>
      <c r="K341" s="45"/>
    </row>
    <row r="342">
      <c r="A342" s="45"/>
      <c r="B342" s="45"/>
      <c r="C342" s="45"/>
      <c r="D342" s="45"/>
      <c r="E342" s="258"/>
      <c r="F342" s="45"/>
      <c r="G342" s="474"/>
      <c r="H342" s="475"/>
      <c r="I342" s="373"/>
      <c r="J342" s="45"/>
      <c r="K342" s="45"/>
    </row>
    <row r="343">
      <c r="A343" s="45"/>
      <c r="B343" s="45"/>
      <c r="C343" s="45"/>
      <c r="D343" s="45"/>
      <c r="E343" s="258"/>
      <c r="F343" s="45"/>
      <c r="G343" s="474"/>
      <c r="H343" s="475"/>
      <c r="I343" s="373"/>
      <c r="J343" s="45"/>
      <c r="K343" s="45"/>
    </row>
    <row r="344">
      <c r="A344" s="45"/>
      <c r="B344" s="45"/>
      <c r="C344" s="45"/>
      <c r="D344" s="45"/>
      <c r="E344" s="258"/>
      <c r="F344" s="45"/>
      <c r="G344" s="474"/>
      <c r="H344" s="475"/>
      <c r="I344" s="373"/>
      <c r="J344" s="45"/>
      <c r="K344" s="45"/>
    </row>
    <row r="345">
      <c r="A345" s="45"/>
      <c r="B345" s="45"/>
      <c r="C345" s="45"/>
      <c r="D345" s="45"/>
      <c r="E345" s="258"/>
      <c r="F345" s="45"/>
      <c r="G345" s="474"/>
      <c r="H345" s="475"/>
      <c r="I345" s="373"/>
      <c r="J345" s="45"/>
      <c r="K345" s="45"/>
    </row>
    <row r="346">
      <c r="A346" s="45"/>
      <c r="B346" s="45"/>
      <c r="C346" s="45"/>
      <c r="D346" s="45"/>
      <c r="E346" s="258"/>
      <c r="F346" s="45"/>
      <c r="G346" s="474"/>
      <c r="H346" s="475"/>
      <c r="I346" s="373"/>
      <c r="J346" s="45"/>
      <c r="K346" s="45"/>
    </row>
    <row r="347">
      <c r="A347" s="45"/>
      <c r="B347" s="45"/>
      <c r="C347" s="45"/>
      <c r="D347" s="45"/>
      <c r="E347" s="258"/>
      <c r="F347" s="45"/>
      <c r="G347" s="474"/>
      <c r="H347" s="475"/>
      <c r="I347" s="373"/>
      <c r="J347" s="45"/>
      <c r="K347" s="45"/>
    </row>
    <row r="348">
      <c r="A348" s="45"/>
      <c r="B348" s="45"/>
      <c r="C348" s="45"/>
      <c r="D348" s="45"/>
      <c r="E348" s="258"/>
      <c r="F348" s="45"/>
      <c r="G348" s="474"/>
      <c r="H348" s="475"/>
      <c r="I348" s="373"/>
      <c r="J348" s="45"/>
      <c r="K348" s="45"/>
    </row>
    <row r="349">
      <c r="A349" s="45"/>
      <c r="B349" s="45"/>
      <c r="C349" s="45"/>
      <c r="D349" s="45"/>
      <c r="E349" s="258"/>
      <c r="F349" s="45"/>
      <c r="G349" s="474"/>
      <c r="H349" s="475"/>
      <c r="I349" s="373"/>
      <c r="J349" s="45"/>
      <c r="K349" s="45"/>
    </row>
    <row r="350">
      <c r="A350" s="45"/>
      <c r="B350" s="45"/>
      <c r="C350" s="45"/>
      <c r="D350" s="45"/>
      <c r="E350" s="258"/>
      <c r="F350" s="45"/>
      <c r="G350" s="474"/>
      <c r="H350" s="475"/>
      <c r="I350" s="373"/>
      <c r="J350" s="45"/>
      <c r="K350" s="45"/>
    </row>
    <row r="351">
      <c r="A351" s="45"/>
      <c r="B351" s="45"/>
      <c r="C351" s="45"/>
      <c r="D351" s="45"/>
      <c r="E351" s="258"/>
      <c r="F351" s="45"/>
      <c r="G351" s="474"/>
      <c r="H351" s="475"/>
      <c r="I351" s="373"/>
      <c r="J351" s="45"/>
      <c r="K351" s="45"/>
    </row>
    <row r="352">
      <c r="A352" s="45"/>
      <c r="B352" s="45"/>
      <c r="C352" s="45"/>
      <c r="D352" s="45"/>
      <c r="E352" s="258"/>
      <c r="F352" s="45"/>
      <c r="G352" s="474"/>
      <c r="H352" s="475"/>
      <c r="I352" s="373"/>
      <c r="J352" s="45"/>
      <c r="K352" s="45"/>
    </row>
    <row r="353">
      <c r="A353" s="45"/>
      <c r="B353" s="45"/>
      <c r="C353" s="45"/>
      <c r="D353" s="45"/>
      <c r="E353" s="258"/>
      <c r="F353" s="45"/>
      <c r="G353" s="474"/>
      <c r="H353" s="475"/>
      <c r="I353" s="373"/>
      <c r="J353" s="45"/>
      <c r="K353" s="45"/>
    </row>
    <row r="354">
      <c r="A354" s="45"/>
      <c r="B354" s="45"/>
      <c r="C354" s="45"/>
      <c r="D354" s="45"/>
      <c r="E354" s="258"/>
      <c r="F354" s="45"/>
      <c r="G354" s="474"/>
      <c r="H354" s="475"/>
      <c r="I354" s="373"/>
      <c r="J354" s="45"/>
      <c r="K354" s="45"/>
    </row>
    <row r="355">
      <c r="A355" s="45"/>
      <c r="B355" s="45"/>
      <c r="C355" s="45"/>
      <c r="D355" s="45"/>
      <c r="E355" s="258"/>
      <c r="F355" s="45"/>
      <c r="G355" s="474"/>
      <c r="H355" s="475"/>
      <c r="I355" s="373"/>
      <c r="J355" s="45"/>
      <c r="K355" s="45"/>
    </row>
    <row r="356">
      <c r="A356" s="45"/>
      <c r="B356" s="45"/>
      <c r="C356" s="45"/>
      <c r="D356" s="45"/>
      <c r="E356" s="258"/>
      <c r="F356" s="45"/>
      <c r="G356" s="474"/>
      <c r="H356" s="475"/>
      <c r="I356" s="373"/>
      <c r="J356" s="45"/>
      <c r="K356" s="45"/>
    </row>
    <row r="357">
      <c r="A357" s="45"/>
      <c r="B357" s="45"/>
      <c r="C357" s="45"/>
      <c r="D357" s="45"/>
      <c r="E357" s="258"/>
      <c r="F357" s="45"/>
      <c r="G357" s="474"/>
      <c r="H357" s="475"/>
      <c r="I357" s="373"/>
      <c r="J357" s="45"/>
      <c r="K357" s="45"/>
    </row>
    <row r="358">
      <c r="A358" s="45"/>
      <c r="B358" s="45"/>
      <c r="C358" s="45"/>
      <c r="D358" s="45"/>
      <c r="E358" s="258"/>
      <c r="F358" s="45"/>
      <c r="G358" s="474"/>
      <c r="H358" s="475"/>
      <c r="I358" s="373"/>
      <c r="J358" s="45"/>
      <c r="K358" s="45"/>
    </row>
    <row r="359">
      <c r="A359" s="45"/>
      <c r="B359" s="45"/>
      <c r="C359" s="45"/>
      <c r="D359" s="45"/>
      <c r="E359" s="258"/>
      <c r="F359" s="45"/>
      <c r="G359" s="474"/>
      <c r="H359" s="475"/>
      <c r="I359" s="373"/>
      <c r="J359" s="45"/>
      <c r="K359" s="45"/>
    </row>
    <row r="360">
      <c r="A360" s="45"/>
      <c r="B360" s="45"/>
      <c r="C360" s="45"/>
      <c r="D360" s="45"/>
      <c r="E360" s="258"/>
      <c r="F360" s="45"/>
      <c r="G360" s="474"/>
      <c r="H360" s="475"/>
      <c r="I360" s="373"/>
      <c r="J360" s="45"/>
      <c r="K360" s="45"/>
    </row>
    <row r="361">
      <c r="A361" s="45"/>
      <c r="B361" s="45"/>
      <c r="C361" s="45"/>
      <c r="D361" s="45"/>
      <c r="E361" s="258"/>
      <c r="F361" s="45"/>
      <c r="G361" s="474"/>
      <c r="H361" s="475"/>
      <c r="I361" s="373"/>
      <c r="J361" s="45"/>
      <c r="K361" s="45"/>
    </row>
    <row r="362">
      <c r="A362" s="45"/>
      <c r="B362" s="45"/>
      <c r="C362" s="45"/>
      <c r="D362" s="45"/>
      <c r="E362" s="258"/>
      <c r="F362" s="45"/>
      <c r="G362" s="474"/>
      <c r="H362" s="475"/>
      <c r="I362" s="373"/>
      <c r="J362" s="45"/>
      <c r="K362" s="45"/>
    </row>
    <row r="363">
      <c r="A363" s="45"/>
      <c r="B363" s="45"/>
      <c r="C363" s="45"/>
      <c r="D363" s="45"/>
      <c r="E363" s="258"/>
      <c r="F363" s="45"/>
      <c r="G363" s="474"/>
      <c r="H363" s="475"/>
      <c r="I363" s="373"/>
      <c r="J363" s="45"/>
      <c r="K363" s="45"/>
    </row>
    <row r="364">
      <c r="A364" s="45"/>
      <c r="B364" s="45"/>
      <c r="C364" s="45"/>
      <c r="D364" s="45"/>
      <c r="E364" s="258"/>
      <c r="F364" s="45"/>
      <c r="G364" s="474"/>
      <c r="H364" s="475"/>
      <c r="I364" s="373"/>
      <c r="J364" s="45"/>
      <c r="K364" s="45"/>
    </row>
    <row r="365">
      <c r="A365" s="45"/>
      <c r="B365" s="45"/>
      <c r="C365" s="45"/>
      <c r="D365" s="45"/>
      <c r="E365" s="258"/>
      <c r="F365" s="45"/>
      <c r="G365" s="474"/>
      <c r="H365" s="475"/>
      <c r="I365" s="373"/>
      <c r="J365" s="45"/>
      <c r="K365" s="45"/>
    </row>
    <row r="366">
      <c r="A366" s="45"/>
      <c r="B366" s="45"/>
      <c r="C366" s="45"/>
      <c r="D366" s="45"/>
      <c r="E366" s="258"/>
      <c r="F366" s="45"/>
      <c r="G366" s="474"/>
      <c r="H366" s="475"/>
      <c r="I366" s="373"/>
      <c r="J366" s="45"/>
      <c r="K366" s="45"/>
    </row>
    <row r="367">
      <c r="A367" s="45"/>
      <c r="B367" s="45"/>
      <c r="C367" s="45"/>
      <c r="D367" s="45"/>
      <c r="E367" s="258"/>
      <c r="F367" s="45"/>
      <c r="G367" s="474"/>
      <c r="H367" s="475"/>
      <c r="I367" s="373"/>
      <c r="J367" s="45"/>
      <c r="K367" s="45"/>
    </row>
    <row r="368">
      <c r="A368" s="45"/>
      <c r="B368" s="45"/>
      <c r="C368" s="45"/>
      <c r="D368" s="45"/>
      <c r="E368" s="258"/>
      <c r="F368" s="45"/>
      <c r="G368" s="474"/>
      <c r="H368" s="475"/>
      <c r="I368" s="373"/>
      <c r="J368" s="45"/>
      <c r="K368" s="45"/>
    </row>
    <row r="369">
      <c r="A369" s="45"/>
      <c r="B369" s="45"/>
      <c r="C369" s="45"/>
      <c r="D369" s="45"/>
      <c r="E369" s="258"/>
      <c r="F369" s="45"/>
      <c r="G369" s="474"/>
      <c r="H369" s="475"/>
      <c r="I369" s="373"/>
      <c r="J369" s="45"/>
      <c r="K369" s="45"/>
    </row>
    <row r="370">
      <c r="A370" s="45"/>
      <c r="B370" s="45"/>
      <c r="C370" s="45"/>
      <c r="D370" s="45"/>
      <c r="E370" s="258"/>
      <c r="F370" s="45"/>
      <c r="G370" s="474"/>
      <c r="H370" s="475"/>
      <c r="I370" s="373"/>
      <c r="J370" s="45"/>
      <c r="K370" s="45"/>
    </row>
    <row r="371">
      <c r="A371" s="45"/>
      <c r="B371" s="45"/>
      <c r="C371" s="45"/>
      <c r="D371" s="45"/>
      <c r="E371" s="258"/>
      <c r="F371" s="45"/>
      <c r="G371" s="474"/>
      <c r="H371" s="475"/>
      <c r="I371" s="373"/>
      <c r="J371" s="45"/>
      <c r="K371" s="45"/>
    </row>
    <row r="372">
      <c r="A372" s="45"/>
      <c r="B372" s="45"/>
      <c r="C372" s="45"/>
      <c r="D372" s="45"/>
      <c r="E372" s="258"/>
      <c r="F372" s="45"/>
      <c r="G372" s="474"/>
      <c r="H372" s="475"/>
      <c r="I372" s="373"/>
      <c r="J372" s="45"/>
      <c r="K372" s="45"/>
    </row>
    <row r="373">
      <c r="A373" s="45"/>
      <c r="B373" s="45"/>
      <c r="C373" s="45"/>
      <c r="D373" s="45"/>
      <c r="E373" s="258"/>
      <c r="F373" s="45"/>
      <c r="G373" s="474"/>
      <c r="H373" s="475"/>
      <c r="I373" s="373"/>
      <c r="J373" s="45"/>
      <c r="K373" s="45"/>
    </row>
    <row r="374">
      <c r="A374" s="45"/>
      <c r="B374" s="45"/>
      <c r="C374" s="45"/>
      <c r="D374" s="45"/>
      <c r="E374" s="258"/>
      <c r="F374" s="45"/>
      <c r="G374" s="474"/>
      <c r="H374" s="475"/>
      <c r="I374" s="373"/>
      <c r="J374" s="45"/>
      <c r="K374" s="45"/>
    </row>
    <row r="375">
      <c r="A375" s="45"/>
      <c r="B375" s="45"/>
      <c r="C375" s="45"/>
      <c r="D375" s="45"/>
      <c r="E375" s="258"/>
      <c r="F375" s="45"/>
      <c r="G375" s="474"/>
      <c r="H375" s="475"/>
      <c r="I375" s="373"/>
      <c r="J375" s="45"/>
      <c r="K375" s="45"/>
    </row>
    <row r="376">
      <c r="A376" s="45"/>
      <c r="B376" s="45"/>
      <c r="C376" s="45"/>
      <c r="D376" s="45"/>
      <c r="E376" s="258"/>
      <c r="F376" s="45"/>
      <c r="G376" s="474"/>
      <c r="H376" s="475"/>
      <c r="I376" s="373"/>
      <c r="J376" s="45"/>
      <c r="K376" s="45"/>
    </row>
    <row r="377">
      <c r="A377" s="45"/>
      <c r="B377" s="45"/>
      <c r="C377" s="45"/>
      <c r="D377" s="45"/>
      <c r="E377" s="258"/>
      <c r="F377" s="45"/>
      <c r="G377" s="474"/>
      <c r="H377" s="475"/>
      <c r="I377" s="373"/>
      <c r="J377" s="45"/>
      <c r="K377" s="45"/>
    </row>
    <row r="378">
      <c r="A378" s="45"/>
      <c r="B378" s="45"/>
      <c r="C378" s="45"/>
      <c r="D378" s="45"/>
      <c r="E378" s="258"/>
      <c r="F378" s="45"/>
      <c r="G378" s="474"/>
      <c r="H378" s="475"/>
      <c r="I378" s="373"/>
      <c r="J378" s="45"/>
      <c r="K378" s="45"/>
    </row>
    <row r="379">
      <c r="A379" s="45"/>
      <c r="B379" s="45"/>
      <c r="C379" s="45"/>
      <c r="D379" s="45"/>
      <c r="E379" s="258"/>
      <c r="F379" s="45"/>
      <c r="G379" s="474"/>
      <c r="H379" s="475"/>
      <c r="I379" s="373"/>
      <c r="J379" s="45"/>
      <c r="K379" s="45"/>
    </row>
    <row r="380">
      <c r="A380" s="45"/>
      <c r="B380" s="45"/>
      <c r="C380" s="45"/>
      <c r="D380" s="45"/>
      <c r="E380" s="258"/>
      <c r="F380" s="45"/>
      <c r="G380" s="474"/>
      <c r="H380" s="475"/>
      <c r="I380" s="373"/>
      <c r="J380" s="45"/>
      <c r="K380" s="45"/>
    </row>
    <row r="381">
      <c r="A381" s="45"/>
      <c r="B381" s="45"/>
      <c r="C381" s="45"/>
      <c r="D381" s="45"/>
      <c r="E381" s="258"/>
      <c r="F381" s="45"/>
      <c r="G381" s="474"/>
      <c r="H381" s="475"/>
      <c r="I381" s="373"/>
      <c r="J381" s="45"/>
      <c r="K381" s="45"/>
    </row>
    <row r="382">
      <c r="A382" s="45"/>
      <c r="B382" s="45"/>
      <c r="C382" s="45"/>
      <c r="D382" s="45"/>
      <c r="E382" s="258"/>
      <c r="F382" s="45"/>
      <c r="G382" s="474"/>
      <c r="H382" s="475"/>
      <c r="I382" s="373"/>
      <c r="J382" s="45"/>
      <c r="K382" s="45"/>
    </row>
    <row r="383">
      <c r="A383" s="45"/>
      <c r="B383" s="45"/>
      <c r="C383" s="45"/>
      <c r="D383" s="45"/>
      <c r="E383" s="258"/>
      <c r="F383" s="45"/>
      <c r="G383" s="474"/>
      <c r="H383" s="475"/>
      <c r="I383" s="373"/>
      <c r="J383" s="45"/>
      <c r="K383" s="45"/>
    </row>
    <row r="384">
      <c r="A384" s="45"/>
      <c r="B384" s="45"/>
      <c r="C384" s="45"/>
      <c r="D384" s="45"/>
      <c r="E384" s="258"/>
      <c r="F384" s="45"/>
      <c r="G384" s="474"/>
      <c r="H384" s="475"/>
      <c r="I384" s="373"/>
      <c r="J384" s="45"/>
      <c r="K384" s="45"/>
    </row>
    <row r="385">
      <c r="A385" s="45"/>
      <c r="B385" s="45"/>
      <c r="C385" s="45"/>
      <c r="D385" s="45"/>
      <c r="E385" s="258"/>
      <c r="F385" s="45"/>
      <c r="G385" s="474"/>
      <c r="H385" s="475"/>
      <c r="I385" s="373"/>
      <c r="J385" s="45"/>
      <c r="K385" s="45"/>
    </row>
    <row r="386">
      <c r="A386" s="45"/>
      <c r="B386" s="45"/>
      <c r="C386" s="45"/>
      <c r="D386" s="45"/>
      <c r="E386" s="258"/>
      <c r="F386" s="45"/>
      <c r="G386" s="474"/>
      <c r="H386" s="475"/>
      <c r="I386" s="373"/>
      <c r="J386" s="45"/>
      <c r="K386" s="45"/>
    </row>
    <row r="387">
      <c r="A387" s="45"/>
      <c r="B387" s="45"/>
      <c r="C387" s="45"/>
      <c r="D387" s="45"/>
      <c r="E387" s="258"/>
      <c r="F387" s="45"/>
      <c r="G387" s="474"/>
      <c r="H387" s="475"/>
      <c r="I387" s="373"/>
      <c r="J387" s="45"/>
      <c r="K387" s="45"/>
    </row>
    <row r="388">
      <c r="A388" s="45"/>
      <c r="B388" s="45"/>
      <c r="C388" s="45"/>
      <c r="D388" s="45"/>
      <c r="E388" s="258"/>
      <c r="F388" s="45"/>
      <c r="G388" s="474"/>
      <c r="H388" s="475"/>
      <c r="I388" s="373"/>
      <c r="J388" s="45"/>
      <c r="K388" s="45"/>
    </row>
    <row r="389">
      <c r="A389" s="45"/>
      <c r="B389" s="45"/>
      <c r="C389" s="45"/>
      <c r="D389" s="45"/>
      <c r="E389" s="258"/>
      <c r="F389" s="45"/>
      <c r="G389" s="474"/>
      <c r="H389" s="475"/>
      <c r="I389" s="373"/>
      <c r="J389" s="45"/>
      <c r="K389" s="45"/>
    </row>
    <row r="390">
      <c r="A390" s="45"/>
      <c r="B390" s="45"/>
      <c r="C390" s="45"/>
      <c r="D390" s="45"/>
      <c r="E390" s="258"/>
      <c r="F390" s="45"/>
      <c r="G390" s="474"/>
      <c r="H390" s="475"/>
      <c r="I390" s="373"/>
      <c r="J390" s="45"/>
      <c r="K390" s="45"/>
    </row>
    <row r="391">
      <c r="A391" s="45"/>
      <c r="B391" s="45"/>
      <c r="C391" s="45"/>
      <c r="D391" s="45"/>
      <c r="E391" s="258"/>
      <c r="F391" s="45"/>
      <c r="G391" s="474"/>
      <c r="H391" s="475"/>
      <c r="I391" s="373"/>
      <c r="J391" s="45"/>
      <c r="K391" s="45"/>
    </row>
    <row r="392">
      <c r="A392" s="45"/>
      <c r="B392" s="45"/>
      <c r="C392" s="45"/>
      <c r="D392" s="45"/>
      <c r="E392" s="258"/>
      <c r="F392" s="45"/>
      <c r="G392" s="474"/>
      <c r="H392" s="475"/>
      <c r="I392" s="373"/>
      <c r="J392" s="45"/>
      <c r="K392" s="45"/>
    </row>
    <row r="393">
      <c r="A393" s="45"/>
      <c r="B393" s="45"/>
      <c r="C393" s="45"/>
      <c r="D393" s="45"/>
      <c r="E393" s="258"/>
      <c r="F393" s="45"/>
      <c r="G393" s="474"/>
      <c r="H393" s="475"/>
      <c r="I393" s="373"/>
      <c r="J393" s="45"/>
      <c r="K393" s="45"/>
    </row>
    <row r="394">
      <c r="A394" s="45"/>
      <c r="B394" s="45"/>
      <c r="C394" s="45"/>
      <c r="D394" s="45"/>
      <c r="E394" s="258"/>
      <c r="F394" s="45"/>
      <c r="G394" s="474"/>
      <c r="H394" s="475"/>
      <c r="I394" s="373"/>
      <c r="J394" s="45"/>
      <c r="K394" s="45"/>
    </row>
    <row r="395">
      <c r="A395" s="45"/>
      <c r="B395" s="45"/>
      <c r="C395" s="45"/>
      <c r="D395" s="45"/>
      <c r="E395" s="258"/>
      <c r="F395" s="45"/>
      <c r="G395" s="474"/>
      <c r="H395" s="475"/>
      <c r="I395" s="373"/>
      <c r="J395" s="45"/>
      <c r="K395" s="45"/>
    </row>
    <row r="396">
      <c r="A396" s="45"/>
      <c r="B396" s="45"/>
      <c r="C396" s="45"/>
      <c r="D396" s="45"/>
      <c r="E396" s="258"/>
      <c r="F396" s="45"/>
      <c r="G396" s="474"/>
      <c r="H396" s="475"/>
      <c r="I396" s="373"/>
      <c r="J396" s="45"/>
      <c r="K396" s="45"/>
    </row>
    <row r="397">
      <c r="A397" s="45"/>
      <c r="B397" s="45"/>
      <c r="C397" s="45"/>
      <c r="D397" s="45"/>
      <c r="E397" s="258"/>
      <c r="F397" s="45"/>
      <c r="G397" s="474"/>
      <c r="H397" s="475"/>
      <c r="I397" s="373"/>
      <c r="J397" s="45"/>
      <c r="K397" s="45"/>
    </row>
    <row r="398">
      <c r="A398" s="45"/>
      <c r="B398" s="45"/>
      <c r="C398" s="45"/>
      <c r="D398" s="45"/>
      <c r="E398" s="258"/>
      <c r="F398" s="45"/>
      <c r="G398" s="474"/>
      <c r="H398" s="475"/>
      <c r="I398" s="373"/>
      <c r="J398" s="45"/>
      <c r="K398" s="45"/>
    </row>
    <row r="399">
      <c r="A399" s="45"/>
      <c r="B399" s="45"/>
      <c r="C399" s="45"/>
      <c r="D399" s="45"/>
      <c r="E399" s="258"/>
      <c r="F399" s="45"/>
      <c r="G399" s="474"/>
      <c r="H399" s="475"/>
      <c r="I399" s="373"/>
      <c r="J399" s="45"/>
      <c r="K399" s="45"/>
    </row>
    <row r="400">
      <c r="A400" s="45"/>
      <c r="B400" s="45"/>
      <c r="C400" s="45"/>
      <c r="D400" s="45"/>
      <c r="E400" s="258"/>
      <c r="F400" s="45"/>
      <c r="G400" s="474"/>
      <c r="H400" s="475"/>
      <c r="I400" s="373"/>
      <c r="J400" s="45"/>
      <c r="K400" s="45"/>
    </row>
    <row r="401">
      <c r="A401" s="45"/>
      <c r="B401" s="45"/>
      <c r="C401" s="45"/>
      <c r="D401" s="45"/>
      <c r="E401" s="258"/>
      <c r="F401" s="45"/>
      <c r="G401" s="474"/>
      <c r="H401" s="475"/>
      <c r="I401" s="373"/>
      <c r="J401" s="45"/>
      <c r="K401" s="45"/>
    </row>
    <row r="402">
      <c r="A402" s="45"/>
      <c r="B402" s="45"/>
      <c r="C402" s="45"/>
      <c r="D402" s="45"/>
      <c r="E402" s="258"/>
      <c r="F402" s="45"/>
      <c r="G402" s="474"/>
      <c r="H402" s="475"/>
      <c r="I402" s="373"/>
      <c r="J402" s="45"/>
      <c r="K402" s="45"/>
    </row>
    <row r="403">
      <c r="A403" s="45"/>
      <c r="B403" s="45"/>
      <c r="C403" s="45"/>
      <c r="D403" s="45"/>
      <c r="E403" s="258"/>
      <c r="F403" s="45"/>
      <c r="G403" s="474"/>
      <c r="H403" s="475"/>
      <c r="I403" s="373"/>
      <c r="J403" s="45"/>
      <c r="K403" s="45"/>
    </row>
    <row r="404">
      <c r="A404" s="45"/>
      <c r="B404" s="45"/>
      <c r="C404" s="45"/>
      <c r="D404" s="45"/>
      <c r="E404" s="258"/>
      <c r="F404" s="45"/>
      <c r="G404" s="474"/>
      <c r="H404" s="475"/>
      <c r="I404" s="373"/>
      <c r="J404" s="45"/>
      <c r="K404" s="45"/>
    </row>
    <row r="405">
      <c r="A405" s="45"/>
      <c r="B405" s="45"/>
      <c r="C405" s="45"/>
      <c r="D405" s="45"/>
      <c r="E405" s="258"/>
      <c r="F405" s="45"/>
      <c r="G405" s="474"/>
      <c r="H405" s="475"/>
      <c r="I405" s="373"/>
      <c r="J405" s="45"/>
      <c r="K405" s="45"/>
    </row>
    <row r="406">
      <c r="A406" s="45"/>
      <c r="B406" s="45"/>
      <c r="C406" s="45"/>
      <c r="D406" s="45"/>
      <c r="E406" s="258"/>
      <c r="F406" s="45"/>
      <c r="G406" s="474"/>
      <c r="H406" s="475"/>
      <c r="I406" s="373"/>
      <c r="J406" s="45"/>
      <c r="K406" s="45"/>
    </row>
    <row r="407">
      <c r="A407" s="45"/>
      <c r="B407" s="45"/>
      <c r="C407" s="45"/>
      <c r="D407" s="45"/>
      <c r="E407" s="258"/>
      <c r="F407" s="45"/>
      <c r="G407" s="474"/>
      <c r="H407" s="475"/>
      <c r="I407" s="373"/>
      <c r="J407" s="45"/>
      <c r="K407" s="45"/>
    </row>
    <row r="408">
      <c r="A408" s="45"/>
      <c r="B408" s="45"/>
      <c r="C408" s="45"/>
      <c r="D408" s="45"/>
      <c r="E408" s="258"/>
      <c r="F408" s="45"/>
      <c r="G408" s="474"/>
      <c r="H408" s="475"/>
      <c r="I408" s="373"/>
      <c r="J408" s="45"/>
      <c r="K408" s="45"/>
    </row>
    <row r="409">
      <c r="A409" s="45"/>
      <c r="B409" s="45"/>
      <c r="C409" s="45"/>
      <c r="D409" s="45"/>
      <c r="E409" s="258"/>
      <c r="F409" s="45"/>
      <c r="G409" s="474"/>
      <c r="H409" s="475"/>
      <c r="I409" s="373"/>
      <c r="J409" s="45"/>
      <c r="K409" s="45"/>
    </row>
    <row r="410">
      <c r="A410" s="45"/>
      <c r="B410" s="45"/>
      <c r="C410" s="45"/>
      <c r="D410" s="45"/>
      <c r="E410" s="258"/>
      <c r="F410" s="45"/>
      <c r="G410" s="474"/>
      <c r="H410" s="475"/>
      <c r="I410" s="373"/>
      <c r="J410" s="45"/>
      <c r="K410" s="45"/>
    </row>
    <row r="411">
      <c r="A411" s="45"/>
      <c r="B411" s="45"/>
      <c r="C411" s="45"/>
      <c r="D411" s="45"/>
      <c r="E411" s="258"/>
      <c r="F411" s="45"/>
      <c r="G411" s="474"/>
      <c r="H411" s="475"/>
      <c r="I411" s="373"/>
      <c r="J411" s="45"/>
      <c r="K411" s="45"/>
    </row>
    <row r="412">
      <c r="A412" s="45"/>
      <c r="B412" s="45"/>
      <c r="C412" s="45"/>
      <c r="D412" s="45"/>
      <c r="E412" s="258"/>
      <c r="F412" s="45"/>
      <c r="G412" s="474"/>
      <c r="H412" s="475"/>
      <c r="I412" s="373"/>
      <c r="J412" s="45"/>
      <c r="K412" s="45"/>
    </row>
    <row r="413">
      <c r="A413" s="45"/>
      <c r="B413" s="45"/>
      <c r="C413" s="45"/>
      <c r="D413" s="45"/>
      <c r="E413" s="258"/>
      <c r="F413" s="45"/>
      <c r="G413" s="474"/>
      <c r="H413" s="475"/>
      <c r="I413" s="373"/>
      <c r="J413" s="45"/>
      <c r="K413" s="45"/>
    </row>
    <row r="414">
      <c r="A414" s="45"/>
      <c r="B414" s="45"/>
      <c r="C414" s="45"/>
      <c r="D414" s="45"/>
      <c r="E414" s="258"/>
      <c r="F414" s="45"/>
      <c r="G414" s="474"/>
      <c r="H414" s="475"/>
      <c r="I414" s="373"/>
      <c r="J414" s="45"/>
      <c r="K414" s="45"/>
    </row>
    <row r="415">
      <c r="A415" s="45"/>
      <c r="B415" s="45"/>
      <c r="C415" s="45"/>
      <c r="D415" s="45"/>
      <c r="E415" s="258"/>
      <c r="F415" s="45"/>
      <c r="G415" s="474"/>
      <c r="H415" s="475"/>
      <c r="I415" s="373"/>
      <c r="J415" s="45"/>
      <c r="K415" s="45"/>
    </row>
    <row r="416">
      <c r="A416" s="45"/>
      <c r="B416" s="45"/>
      <c r="C416" s="45"/>
      <c r="D416" s="45"/>
      <c r="E416" s="258"/>
      <c r="F416" s="45"/>
      <c r="G416" s="474"/>
      <c r="H416" s="475"/>
      <c r="I416" s="373"/>
      <c r="J416" s="45"/>
      <c r="K416" s="45"/>
    </row>
    <row r="417">
      <c r="A417" s="45"/>
      <c r="B417" s="45"/>
      <c r="C417" s="45"/>
      <c r="D417" s="45"/>
      <c r="E417" s="258"/>
      <c r="F417" s="45"/>
      <c r="G417" s="474"/>
      <c r="H417" s="475"/>
      <c r="I417" s="373"/>
      <c r="J417" s="45"/>
      <c r="K417" s="45"/>
    </row>
    <row r="418">
      <c r="A418" s="45"/>
      <c r="B418" s="45"/>
      <c r="C418" s="45"/>
      <c r="D418" s="45"/>
      <c r="E418" s="258"/>
      <c r="F418" s="45"/>
      <c r="G418" s="474"/>
      <c r="H418" s="475"/>
      <c r="I418" s="373"/>
      <c r="J418" s="45"/>
      <c r="K418" s="45"/>
    </row>
    <row r="419">
      <c r="A419" s="45"/>
      <c r="B419" s="45"/>
      <c r="C419" s="45"/>
      <c r="D419" s="45"/>
      <c r="E419" s="258"/>
      <c r="F419" s="45"/>
      <c r="G419" s="474"/>
      <c r="H419" s="475"/>
      <c r="I419" s="373"/>
      <c r="J419" s="45"/>
      <c r="K419" s="45"/>
    </row>
    <row r="420">
      <c r="A420" s="45"/>
      <c r="B420" s="45"/>
      <c r="C420" s="45"/>
      <c r="D420" s="45"/>
      <c r="E420" s="258"/>
      <c r="F420" s="45"/>
      <c r="G420" s="474"/>
      <c r="H420" s="475"/>
      <c r="I420" s="373"/>
      <c r="J420" s="45"/>
      <c r="K420" s="45"/>
    </row>
    <row r="421">
      <c r="A421" s="45"/>
      <c r="B421" s="45"/>
      <c r="C421" s="45"/>
      <c r="D421" s="45"/>
      <c r="E421" s="258"/>
      <c r="F421" s="45"/>
      <c r="G421" s="474"/>
      <c r="H421" s="475"/>
      <c r="I421" s="373"/>
      <c r="J421" s="45"/>
      <c r="K421" s="45"/>
    </row>
    <row r="422">
      <c r="A422" s="45"/>
      <c r="B422" s="45"/>
      <c r="C422" s="45"/>
      <c r="D422" s="45"/>
      <c r="E422" s="258"/>
      <c r="F422" s="45"/>
      <c r="G422" s="474"/>
      <c r="H422" s="475"/>
      <c r="I422" s="373"/>
      <c r="J422" s="45"/>
      <c r="K422" s="45"/>
    </row>
    <row r="423">
      <c r="A423" s="45"/>
      <c r="B423" s="45"/>
      <c r="C423" s="45"/>
      <c r="D423" s="45"/>
      <c r="E423" s="258"/>
      <c r="F423" s="45"/>
      <c r="G423" s="474"/>
      <c r="H423" s="475"/>
      <c r="I423" s="373"/>
      <c r="J423" s="45"/>
      <c r="K423" s="45"/>
    </row>
    <row r="424">
      <c r="A424" s="45"/>
      <c r="B424" s="45"/>
      <c r="C424" s="45"/>
      <c r="D424" s="45"/>
      <c r="E424" s="258"/>
      <c r="F424" s="45"/>
      <c r="G424" s="474"/>
      <c r="H424" s="475"/>
      <c r="I424" s="373"/>
      <c r="J424" s="45"/>
      <c r="K424" s="45"/>
    </row>
    <row r="425">
      <c r="A425" s="45"/>
      <c r="B425" s="45"/>
      <c r="C425" s="45"/>
      <c r="D425" s="45"/>
      <c r="E425" s="258"/>
      <c r="F425" s="45"/>
      <c r="G425" s="474"/>
      <c r="H425" s="475"/>
      <c r="I425" s="373"/>
      <c r="J425" s="45"/>
      <c r="K425" s="45"/>
    </row>
    <row r="426">
      <c r="A426" s="45"/>
      <c r="B426" s="45"/>
      <c r="C426" s="45"/>
      <c r="D426" s="45"/>
      <c r="E426" s="258"/>
      <c r="F426" s="45"/>
      <c r="G426" s="474"/>
      <c r="H426" s="475"/>
      <c r="I426" s="373"/>
      <c r="J426" s="45"/>
      <c r="K426" s="45"/>
    </row>
    <row r="427">
      <c r="A427" s="45"/>
      <c r="B427" s="45"/>
      <c r="C427" s="45"/>
      <c r="D427" s="45"/>
      <c r="E427" s="258"/>
      <c r="F427" s="45"/>
      <c r="G427" s="474"/>
      <c r="H427" s="475"/>
      <c r="I427" s="373"/>
      <c r="J427" s="45"/>
      <c r="K427" s="45"/>
    </row>
    <row r="428">
      <c r="A428" s="45"/>
      <c r="B428" s="45"/>
      <c r="C428" s="45"/>
      <c r="D428" s="45"/>
      <c r="E428" s="258"/>
      <c r="F428" s="45"/>
      <c r="G428" s="474"/>
      <c r="H428" s="475"/>
      <c r="I428" s="373"/>
      <c r="J428" s="45"/>
      <c r="K428" s="45"/>
    </row>
    <row r="429">
      <c r="A429" s="45"/>
      <c r="B429" s="45"/>
      <c r="C429" s="45"/>
      <c r="D429" s="45"/>
      <c r="E429" s="258"/>
      <c r="F429" s="45"/>
      <c r="G429" s="474"/>
      <c r="H429" s="475"/>
      <c r="I429" s="373"/>
      <c r="J429" s="45"/>
      <c r="K429" s="45"/>
    </row>
    <row r="430">
      <c r="A430" s="45"/>
      <c r="B430" s="45"/>
      <c r="C430" s="45"/>
      <c r="D430" s="45"/>
      <c r="E430" s="258"/>
      <c r="F430" s="45"/>
      <c r="G430" s="474"/>
      <c r="H430" s="475"/>
      <c r="I430" s="373"/>
      <c r="J430" s="45"/>
      <c r="K430" s="45"/>
    </row>
    <row r="431">
      <c r="A431" s="45"/>
      <c r="B431" s="45"/>
      <c r="C431" s="45"/>
      <c r="D431" s="45"/>
      <c r="E431" s="258"/>
      <c r="F431" s="45"/>
      <c r="G431" s="474"/>
      <c r="H431" s="475"/>
      <c r="I431" s="373"/>
      <c r="J431" s="45"/>
      <c r="K431" s="45"/>
    </row>
    <row r="432">
      <c r="A432" s="45"/>
      <c r="B432" s="45"/>
      <c r="C432" s="45"/>
      <c r="D432" s="45"/>
      <c r="E432" s="258"/>
      <c r="F432" s="45"/>
      <c r="G432" s="474"/>
      <c r="H432" s="475"/>
      <c r="I432" s="373"/>
      <c r="J432" s="45"/>
      <c r="K432" s="45"/>
    </row>
    <row r="433">
      <c r="A433" s="45"/>
      <c r="B433" s="45"/>
      <c r="C433" s="45"/>
      <c r="D433" s="45"/>
      <c r="E433" s="258"/>
      <c r="F433" s="45"/>
      <c r="G433" s="474"/>
      <c r="H433" s="475"/>
      <c r="I433" s="373"/>
      <c r="J433" s="45"/>
      <c r="K433" s="45"/>
    </row>
    <row r="434">
      <c r="A434" s="45"/>
      <c r="B434" s="45"/>
      <c r="C434" s="45"/>
      <c r="D434" s="45"/>
      <c r="E434" s="258"/>
      <c r="F434" s="45"/>
      <c r="G434" s="474"/>
      <c r="H434" s="475"/>
      <c r="I434" s="373"/>
      <c r="J434" s="45"/>
      <c r="K434" s="45"/>
    </row>
    <row r="435">
      <c r="A435" s="45"/>
      <c r="B435" s="45"/>
      <c r="C435" s="45"/>
      <c r="D435" s="45"/>
      <c r="E435" s="258"/>
      <c r="F435" s="45"/>
      <c r="G435" s="474"/>
      <c r="H435" s="475"/>
      <c r="I435" s="373"/>
      <c r="J435" s="45"/>
      <c r="K435" s="45"/>
    </row>
    <row r="436">
      <c r="A436" s="45"/>
      <c r="B436" s="45"/>
      <c r="C436" s="45"/>
      <c r="D436" s="45"/>
      <c r="E436" s="258"/>
      <c r="F436" s="45"/>
      <c r="G436" s="474"/>
      <c r="H436" s="475"/>
      <c r="I436" s="373"/>
      <c r="J436" s="45"/>
      <c r="K436" s="45"/>
    </row>
    <row r="437">
      <c r="A437" s="45"/>
      <c r="B437" s="45"/>
      <c r="C437" s="45"/>
      <c r="D437" s="45"/>
      <c r="E437" s="258"/>
      <c r="F437" s="45"/>
      <c r="G437" s="474"/>
      <c r="H437" s="475"/>
      <c r="I437" s="373"/>
      <c r="J437" s="45"/>
      <c r="K437" s="45"/>
    </row>
    <row r="438">
      <c r="A438" s="45"/>
      <c r="B438" s="45"/>
      <c r="C438" s="45"/>
      <c r="D438" s="45"/>
      <c r="E438" s="258"/>
      <c r="F438" s="45"/>
      <c r="G438" s="474"/>
      <c r="H438" s="475"/>
      <c r="I438" s="373"/>
      <c r="J438" s="45"/>
      <c r="K438" s="45"/>
    </row>
    <row r="439">
      <c r="A439" s="45"/>
      <c r="B439" s="45"/>
      <c r="C439" s="45"/>
      <c r="D439" s="45"/>
      <c r="E439" s="258"/>
      <c r="F439" s="45"/>
      <c r="G439" s="474"/>
      <c r="H439" s="475"/>
      <c r="I439" s="373"/>
      <c r="J439" s="45"/>
      <c r="K439" s="45"/>
    </row>
    <row r="440">
      <c r="A440" s="45"/>
      <c r="B440" s="45"/>
      <c r="C440" s="45"/>
      <c r="D440" s="45"/>
      <c r="E440" s="258"/>
      <c r="F440" s="45"/>
      <c r="G440" s="474"/>
      <c r="H440" s="475"/>
      <c r="I440" s="373"/>
      <c r="J440" s="45"/>
      <c r="K440" s="45"/>
    </row>
    <row r="441">
      <c r="A441" s="45"/>
      <c r="B441" s="45"/>
      <c r="C441" s="45"/>
      <c r="D441" s="45"/>
      <c r="E441" s="258"/>
      <c r="F441" s="45"/>
      <c r="G441" s="474"/>
      <c r="H441" s="475"/>
      <c r="I441" s="373"/>
      <c r="J441" s="45"/>
      <c r="K441" s="45"/>
    </row>
    <row r="442">
      <c r="A442" s="45"/>
      <c r="B442" s="45"/>
      <c r="C442" s="45"/>
      <c r="D442" s="45"/>
      <c r="E442" s="258"/>
      <c r="F442" s="45"/>
      <c r="G442" s="474"/>
      <c r="H442" s="475"/>
      <c r="I442" s="373"/>
      <c r="J442" s="45"/>
      <c r="K442" s="45"/>
    </row>
    <row r="443">
      <c r="A443" s="45"/>
      <c r="B443" s="45"/>
      <c r="C443" s="45"/>
      <c r="D443" s="45"/>
      <c r="E443" s="258"/>
      <c r="F443" s="45"/>
      <c r="G443" s="474"/>
      <c r="H443" s="475"/>
      <c r="I443" s="373"/>
      <c r="J443" s="45"/>
      <c r="K443" s="45"/>
    </row>
    <row r="444">
      <c r="A444" s="45"/>
      <c r="B444" s="45"/>
      <c r="C444" s="45"/>
      <c r="D444" s="45"/>
      <c r="E444" s="258"/>
      <c r="F444" s="45"/>
      <c r="G444" s="474"/>
      <c r="H444" s="475"/>
      <c r="I444" s="373"/>
      <c r="J444" s="45"/>
      <c r="K444" s="45"/>
    </row>
    <row r="445">
      <c r="A445" s="45"/>
      <c r="B445" s="45"/>
      <c r="C445" s="45"/>
      <c r="D445" s="45"/>
      <c r="E445" s="258"/>
      <c r="F445" s="45"/>
      <c r="G445" s="474"/>
      <c r="H445" s="475"/>
      <c r="I445" s="373"/>
      <c r="J445" s="45"/>
      <c r="K445" s="45"/>
    </row>
    <row r="446">
      <c r="A446" s="45"/>
      <c r="B446" s="45"/>
      <c r="C446" s="45"/>
      <c r="D446" s="45"/>
      <c r="E446" s="258"/>
      <c r="F446" s="45"/>
      <c r="G446" s="474"/>
      <c r="H446" s="475"/>
      <c r="I446" s="373"/>
      <c r="J446" s="45"/>
      <c r="K446" s="45"/>
    </row>
    <row r="447">
      <c r="A447" s="45"/>
      <c r="B447" s="45"/>
      <c r="C447" s="45"/>
      <c r="D447" s="45"/>
      <c r="E447" s="258"/>
      <c r="F447" s="45"/>
      <c r="G447" s="474"/>
      <c r="H447" s="475"/>
      <c r="I447" s="373"/>
      <c r="J447" s="45"/>
      <c r="K447" s="45"/>
    </row>
    <row r="448">
      <c r="A448" s="45"/>
      <c r="B448" s="45"/>
      <c r="C448" s="45"/>
      <c r="D448" s="45"/>
      <c r="E448" s="258"/>
      <c r="F448" s="45"/>
      <c r="G448" s="474"/>
      <c r="H448" s="475"/>
      <c r="I448" s="373"/>
      <c r="J448" s="45"/>
      <c r="K448" s="45"/>
    </row>
    <row r="449">
      <c r="A449" s="45"/>
      <c r="B449" s="45"/>
      <c r="C449" s="45"/>
      <c r="D449" s="45"/>
      <c r="E449" s="258"/>
      <c r="F449" s="45"/>
      <c r="G449" s="474"/>
      <c r="H449" s="475"/>
      <c r="I449" s="373"/>
      <c r="J449" s="45"/>
      <c r="K449" s="45"/>
    </row>
    <row r="450">
      <c r="A450" s="45"/>
      <c r="B450" s="45"/>
      <c r="C450" s="45"/>
      <c r="D450" s="45"/>
      <c r="E450" s="258"/>
      <c r="F450" s="45"/>
      <c r="G450" s="474"/>
      <c r="H450" s="475"/>
      <c r="I450" s="373"/>
      <c r="J450" s="45"/>
      <c r="K450" s="45"/>
    </row>
    <row r="451">
      <c r="A451" s="45"/>
      <c r="B451" s="45"/>
      <c r="C451" s="45"/>
      <c r="D451" s="45"/>
      <c r="E451" s="258"/>
      <c r="F451" s="45"/>
      <c r="G451" s="474"/>
      <c r="H451" s="475"/>
      <c r="I451" s="373"/>
      <c r="J451" s="45"/>
      <c r="K451" s="45"/>
    </row>
    <row r="452">
      <c r="A452" s="45"/>
      <c r="B452" s="45"/>
      <c r="C452" s="45"/>
      <c r="D452" s="45"/>
      <c r="E452" s="258"/>
      <c r="F452" s="45"/>
      <c r="G452" s="474"/>
      <c r="H452" s="475"/>
      <c r="I452" s="373"/>
      <c r="J452" s="45"/>
      <c r="K452" s="45"/>
    </row>
    <row r="453">
      <c r="A453" s="45"/>
      <c r="B453" s="45"/>
      <c r="C453" s="45"/>
      <c r="D453" s="45"/>
      <c r="E453" s="258"/>
      <c r="F453" s="45"/>
      <c r="G453" s="474"/>
      <c r="H453" s="475"/>
      <c r="I453" s="373"/>
      <c r="J453" s="45"/>
      <c r="K453" s="45"/>
    </row>
    <row r="454">
      <c r="A454" s="45"/>
      <c r="B454" s="45"/>
      <c r="C454" s="45"/>
      <c r="D454" s="45"/>
      <c r="E454" s="258"/>
      <c r="F454" s="45"/>
      <c r="G454" s="474"/>
      <c r="H454" s="475"/>
      <c r="I454" s="373"/>
      <c r="J454" s="45"/>
      <c r="K454" s="45"/>
    </row>
    <row r="455">
      <c r="A455" s="45"/>
      <c r="B455" s="45"/>
      <c r="C455" s="45"/>
      <c r="D455" s="45"/>
      <c r="E455" s="258"/>
      <c r="F455" s="45"/>
      <c r="G455" s="474"/>
      <c r="H455" s="475"/>
      <c r="I455" s="373"/>
      <c r="J455" s="45"/>
      <c r="K455" s="45"/>
    </row>
    <row r="456">
      <c r="A456" s="45"/>
      <c r="B456" s="45"/>
      <c r="C456" s="45"/>
      <c r="D456" s="45"/>
      <c r="E456" s="258"/>
      <c r="F456" s="45"/>
      <c r="G456" s="474"/>
      <c r="H456" s="475"/>
      <c r="I456" s="373"/>
      <c r="J456" s="45"/>
      <c r="K456" s="45"/>
    </row>
    <row r="457">
      <c r="A457" s="45"/>
      <c r="B457" s="45"/>
      <c r="C457" s="45"/>
      <c r="D457" s="45"/>
      <c r="E457" s="258"/>
      <c r="F457" s="45"/>
      <c r="G457" s="474"/>
      <c r="H457" s="475"/>
      <c r="I457" s="373"/>
      <c r="J457" s="45"/>
      <c r="K457" s="45"/>
    </row>
    <row r="458">
      <c r="A458" s="45"/>
      <c r="B458" s="45"/>
      <c r="C458" s="45"/>
      <c r="D458" s="45"/>
      <c r="E458" s="258"/>
      <c r="F458" s="45"/>
      <c r="G458" s="474"/>
      <c r="H458" s="475"/>
      <c r="I458" s="373"/>
      <c r="J458" s="45"/>
      <c r="K458" s="45"/>
    </row>
    <row r="459">
      <c r="A459" s="45"/>
      <c r="B459" s="45"/>
      <c r="C459" s="45"/>
      <c r="D459" s="45"/>
      <c r="E459" s="258"/>
      <c r="F459" s="45"/>
      <c r="G459" s="474"/>
      <c r="H459" s="475"/>
      <c r="I459" s="373"/>
      <c r="J459" s="45"/>
      <c r="K459" s="45"/>
    </row>
    <row r="460">
      <c r="A460" s="45"/>
      <c r="B460" s="45"/>
      <c r="C460" s="45"/>
      <c r="D460" s="45"/>
      <c r="E460" s="258"/>
      <c r="F460" s="45"/>
      <c r="G460" s="474"/>
      <c r="H460" s="475"/>
      <c r="I460" s="373"/>
      <c r="J460" s="45"/>
      <c r="K460" s="45"/>
    </row>
    <row r="461">
      <c r="A461" s="45"/>
      <c r="B461" s="45"/>
      <c r="C461" s="45"/>
      <c r="D461" s="45"/>
      <c r="E461" s="258"/>
      <c r="F461" s="45"/>
      <c r="G461" s="474"/>
      <c r="H461" s="475"/>
      <c r="I461" s="373"/>
      <c r="J461" s="45"/>
      <c r="K461" s="45"/>
    </row>
    <row r="462">
      <c r="A462" s="45"/>
      <c r="B462" s="45"/>
      <c r="C462" s="45"/>
      <c r="D462" s="45"/>
      <c r="E462" s="258"/>
      <c r="F462" s="45"/>
      <c r="G462" s="474"/>
      <c r="H462" s="475"/>
      <c r="I462" s="373"/>
      <c r="J462" s="45"/>
      <c r="K462" s="45"/>
    </row>
    <row r="463">
      <c r="A463" s="45"/>
      <c r="B463" s="45"/>
      <c r="C463" s="45"/>
      <c r="D463" s="45"/>
      <c r="E463" s="258"/>
      <c r="F463" s="45"/>
      <c r="G463" s="474"/>
      <c r="H463" s="475"/>
      <c r="I463" s="373"/>
      <c r="J463" s="45"/>
      <c r="K463" s="45"/>
    </row>
    <row r="464">
      <c r="A464" s="45"/>
      <c r="B464" s="45"/>
      <c r="C464" s="45"/>
      <c r="D464" s="45"/>
      <c r="E464" s="258"/>
      <c r="F464" s="45"/>
      <c r="G464" s="474"/>
      <c r="H464" s="475"/>
      <c r="I464" s="373"/>
      <c r="J464" s="45"/>
      <c r="K464" s="45"/>
    </row>
    <row r="465">
      <c r="A465" s="45"/>
      <c r="B465" s="45"/>
      <c r="C465" s="45"/>
      <c r="D465" s="45"/>
      <c r="E465" s="258"/>
      <c r="F465" s="45"/>
      <c r="G465" s="474"/>
      <c r="H465" s="475"/>
      <c r="I465" s="373"/>
      <c r="J465" s="45"/>
      <c r="K465" s="45"/>
    </row>
    <row r="466">
      <c r="A466" s="45"/>
      <c r="B466" s="45"/>
      <c r="C466" s="45"/>
      <c r="D466" s="45"/>
      <c r="E466" s="258"/>
      <c r="F466" s="45"/>
      <c r="G466" s="474"/>
      <c r="H466" s="475"/>
      <c r="I466" s="373"/>
      <c r="J466" s="45"/>
      <c r="K466" s="45"/>
    </row>
    <row r="467">
      <c r="A467" s="45"/>
      <c r="B467" s="45"/>
      <c r="C467" s="45"/>
      <c r="D467" s="45"/>
      <c r="E467" s="258"/>
      <c r="F467" s="45"/>
      <c r="G467" s="474"/>
      <c r="H467" s="475"/>
      <c r="I467" s="373"/>
      <c r="J467" s="45"/>
      <c r="K467" s="45"/>
    </row>
    <row r="468">
      <c r="A468" s="45"/>
      <c r="B468" s="45"/>
      <c r="C468" s="45"/>
      <c r="D468" s="45"/>
      <c r="E468" s="258"/>
      <c r="F468" s="45"/>
      <c r="G468" s="474"/>
      <c r="H468" s="475"/>
      <c r="I468" s="373"/>
      <c r="J468" s="45"/>
      <c r="K468" s="45"/>
    </row>
    <row r="469">
      <c r="A469" s="45"/>
      <c r="B469" s="45"/>
      <c r="C469" s="45"/>
      <c r="D469" s="45"/>
      <c r="E469" s="258"/>
      <c r="F469" s="45"/>
      <c r="G469" s="474"/>
      <c r="H469" s="475"/>
      <c r="I469" s="373"/>
      <c r="J469" s="45"/>
      <c r="K469" s="45"/>
    </row>
    <row r="470">
      <c r="A470" s="45"/>
      <c r="B470" s="45"/>
      <c r="C470" s="45"/>
      <c r="D470" s="45"/>
      <c r="E470" s="258"/>
      <c r="F470" s="45"/>
      <c r="G470" s="474"/>
      <c r="H470" s="475"/>
      <c r="I470" s="373"/>
      <c r="J470" s="45"/>
      <c r="K470" s="45"/>
    </row>
    <row r="471">
      <c r="A471" s="45"/>
      <c r="B471" s="45"/>
      <c r="C471" s="45"/>
      <c r="D471" s="45"/>
      <c r="E471" s="258"/>
      <c r="F471" s="45"/>
      <c r="G471" s="474"/>
      <c r="H471" s="475"/>
      <c r="I471" s="373"/>
      <c r="J471" s="45"/>
      <c r="K471" s="45"/>
    </row>
    <row r="472">
      <c r="A472" s="45"/>
      <c r="B472" s="45"/>
      <c r="C472" s="45"/>
      <c r="D472" s="45"/>
      <c r="E472" s="258"/>
      <c r="F472" s="45"/>
      <c r="G472" s="474"/>
      <c r="H472" s="475"/>
      <c r="I472" s="373"/>
      <c r="J472" s="45"/>
      <c r="K472" s="45"/>
    </row>
    <row r="473">
      <c r="A473" s="45"/>
      <c r="B473" s="45"/>
      <c r="C473" s="45"/>
      <c r="D473" s="45"/>
      <c r="E473" s="258"/>
      <c r="F473" s="45"/>
      <c r="G473" s="474"/>
      <c r="H473" s="475"/>
      <c r="I473" s="373"/>
      <c r="J473" s="45"/>
      <c r="K473" s="45"/>
    </row>
    <row r="474">
      <c r="A474" s="45"/>
      <c r="B474" s="45"/>
      <c r="C474" s="45"/>
      <c r="D474" s="45"/>
      <c r="E474" s="258"/>
      <c r="F474" s="45"/>
      <c r="G474" s="474"/>
      <c r="H474" s="475"/>
      <c r="I474" s="373"/>
      <c r="J474" s="45"/>
      <c r="K474" s="45"/>
    </row>
    <row r="475">
      <c r="A475" s="45"/>
      <c r="B475" s="45"/>
      <c r="C475" s="45"/>
      <c r="D475" s="45"/>
      <c r="E475" s="258"/>
      <c r="F475" s="45"/>
      <c r="G475" s="474"/>
      <c r="H475" s="475"/>
      <c r="I475" s="373"/>
      <c r="J475" s="45"/>
      <c r="K475" s="45"/>
    </row>
    <row r="476">
      <c r="A476" s="45"/>
      <c r="B476" s="45"/>
      <c r="C476" s="45"/>
      <c r="D476" s="45"/>
      <c r="E476" s="258"/>
      <c r="F476" s="45"/>
      <c r="G476" s="474"/>
      <c r="H476" s="475"/>
      <c r="I476" s="373"/>
      <c r="J476" s="45"/>
      <c r="K476" s="45"/>
    </row>
    <row r="477">
      <c r="A477" s="45"/>
      <c r="B477" s="45"/>
      <c r="C477" s="45"/>
      <c r="D477" s="45"/>
      <c r="E477" s="258"/>
      <c r="F477" s="45"/>
      <c r="G477" s="474"/>
      <c r="H477" s="475"/>
      <c r="I477" s="373"/>
      <c r="J477" s="45"/>
      <c r="K477" s="45"/>
    </row>
    <row r="478">
      <c r="A478" s="45"/>
      <c r="B478" s="45"/>
      <c r="C478" s="45"/>
      <c r="D478" s="45"/>
      <c r="E478" s="258"/>
      <c r="F478" s="45"/>
      <c r="G478" s="474"/>
      <c r="H478" s="475"/>
      <c r="I478" s="373"/>
      <c r="J478" s="45"/>
      <c r="K478" s="45"/>
    </row>
    <row r="479">
      <c r="A479" s="45"/>
      <c r="B479" s="45"/>
      <c r="C479" s="45"/>
      <c r="D479" s="45"/>
      <c r="E479" s="258"/>
      <c r="F479" s="45"/>
      <c r="G479" s="474"/>
      <c r="H479" s="475"/>
      <c r="I479" s="373"/>
      <c r="J479" s="45"/>
      <c r="K479" s="45"/>
    </row>
    <row r="480">
      <c r="A480" s="45"/>
      <c r="B480" s="45"/>
      <c r="C480" s="45"/>
      <c r="D480" s="45"/>
      <c r="E480" s="258"/>
      <c r="F480" s="45"/>
      <c r="G480" s="474"/>
      <c r="H480" s="475"/>
      <c r="I480" s="373"/>
      <c r="J480" s="45"/>
      <c r="K480" s="45"/>
    </row>
    <row r="481">
      <c r="A481" s="45"/>
      <c r="B481" s="45"/>
      <c r="C481" s="45"/>
      <c r="D481" s="45"/>
      <c r="E481" s="258"/>
      <c r="F481" s="45"/>
      <c r="G481" s="474"/>
      <c r="H481" s="475"/>
      <c r="I481" s="373"/>
      <c r="J481" s="45"/>
      <c r="K481" s="45"/>
    </row>
    <row r="482">
      <c r="A482" s="45"/>
      <c r="B482" s="45"/>
      <c r="C482" s="45"/>
      <c r="D482" s="45"/>
      <c r="E482" s="258"/>
      <c r="F482" s="45"/>
      <c r="G482" s="474"/>
      <c r="H482" s="475"/>
      <c r="I482" s="373"/>
      <c r="J482" s="45"/>
      <c r="K482" s="45"/>
    </row>
    <row r="483">
      <c r="A483" s="45"/>
      <c r="B483" s="45"/>
      <c r="C483" s="45"/>
      <c r="D483" s="45"/>
      <c r="E483" s="258"/>
      <c r="F483" s="45"/>
      <c r="G483" s="474"/>
      <c r="H483" s="475"/>
      <c r="I483" s="373"/>
      <c r="J483" s="45"/>
      <c r="K483" s="45"/>
    </row>
    <row r="484">
      <c r="A484" s="45"/>
      <c r="B484" s="45"/>
      <c r="C484" s="45"/>
      <c r="D484" s="45"/>
      <c r="E484" s="258"/>
      <c r="F484" s="45"/>
      <c r="G484" s="474"/>
      <c r="H484" s="475"/>
      <c r="I484" s="373"/>
      <c r="J484" s="45"/>
      <c r="K484" s="45"/>
    </row>
    <row r="485">
      <c r="A485" s="45"/>
      <c r="B485" s="45"/>
      <c r="C485" s="45"/>
      <c r="D485" s="45"/>
      <c r="E485" s="258"/>
      <c r="F485" s="45"/>
      <c r="G485" s="474"/>
      <c r="H485" s="475"/>
      <c r="I485" s="373"/>
      <c r="J485" s="45"/>
      <c r="K485" s="45"/>
    </row>
    <row r="486">
      <c r="A486" s="45"/>
      <c r="B486" s="45"/>
      <c r="C486" s="45"/>
      <c r="D486" s="45"/>
      <c r="E486" s="258"/>
      <c r="F486" s="45"/>
      <c r="G486" s="474"/>
      <c r="H486" s="475"/>
      <c r="I486" s="373"/>
      <c r="J486" s="45"/>
      <c r="K486" s="45"/>
    </row>
    <row r="487">
      <c r="A487" s="45"/>
      <c r="B487" s="45"/>
      <c r="C487" s="45"/>
      <c r="D487" s="45"/>
      <c r="E487" s="258"/>
      <c r="F487" s="45"/>
      <c r="G487" s="474"/>
      <c r="H487" s="475"/>
      <c r="I487" s="373"/>
      <c r="J487" s="45"/>
      <c r="K487" s="45"/>
    </row>
    <row r="488">
      <c r="A488" s="45"/>
      <c r="B488" s="45"/>
      <c r="C488" s="45"/>
      <c r="D488" s="45"/>
      <c r="E488" s="258"/>
      <c r="F488" s="45"/>
      <c r="G488" s="474"/>
      <c r="H488" s="475"/>
      <c r="I488" s="373"/>
      <c r="J488" s="45"/>
      <c r="K488" s="45"/>
    </row>
    <row r="489">
      <c r="A489" s="45"/>
      <c r="B489" s="45"/>
      <c r="C489" s="45"/>
      <c r="D489" s="45"/>
      <c r="E489" s="258"/>
      <c r="F489" s="45"/>
      <c r="G489" s="474"/>
      <c r="H489" s="475"/>
      <c r="I489" s="373"/>
      <c r="J489" s="45"/>
      <c r="K489" s="45"/>
    </row>
    <row r="490">
      <c r="A490" s="45"/>
      <c r="B490" s="45"/>
      <c r="C490" s="45"/>
      <c r="D490" s="45"/>
      <c r="E490" s="258"/>
      <c r="F490" s="45"/>
      <c r="G490" s="474"/>
      <c r="H490" s="475"/>
      <c r="I490" s="373"/>
      <c r="J490" s="45"/>
      <c r="K490" s="45"/>
    </row>
    <row r="491">
      <c r="A491" s="45"/>
      <c r="B491" s="45"/>
      <c r="C491" s="45"/>
      <c r="D491" s="45"/>
      <c r="E491" s="258"/>
      <c r="F491" s="45"/>
      <c r="G491" s="474"/>
      <c r="H491" s="475"/>
      <c r="I491" s="373"/>
      <c r="J491" s="45"/>
      <c r="K491" s="45"/>
    </row>
    <row r="492">
      <c r="A492" s="45"/>
      <c r="B492" s="45"/>
      <c r="C492" s="45"/>
      <c r="D492" s="45"/>
      <c r="E492" s="258"/>
      <c r="F492" s="45"/>
      <c r="G492" s="474"/>
      <c r="H492" s="475"/>
      <c r="I492" s="373"/>
      <c r="J492" s="45"/>
      <c r="K492" s="45"/>
    </row>
    <row r="493">
      <c r="A493" s="45"/>
      <c r="B493" s="45"/>
      <c r="C493" s="45"/>
      <c r="D493" s="45"/>
      <c r="E493" s="258"/>
      <c r="F493" s="45"/>
      <c r="G493" s="474"/>
      <c r="H493" s="475"/>
      <c r="I493" s="373"/>
      <c r="J493" s="45"/>
      <c r="K493" s="45"/>
    </row>
    <row r="494">
      <c r="A494" s="45"/>
      <c r="B494" s="45"/>
      <c r="C494" s="45"/>
      <c r="D494" s="45"/>
      <c r="E494" s="258"/>
      <c r="F494" s="45"/>
      <c r="G494" s="474"/>
      <c r="H494" s="475"/>
      <c r="I494" s="373"/>
      <c r="J494" s="45"/>
      <c r="K494" s="45"/>
    </row>
    <row r="495">
      <c r="A495" s="45"/>
      <c r="B495" s="45"/>
      <c r="C495" s="45"/>
      <c r="D495" s="45"/>
      <c r="E495" s="258"/>
      <c r="F495" s="45"/>
      <c r="G495" s="474"/>
      <c r="H495" s="475"/>
      <c r="I495" s="373"/>
      <c r="J495" s="45"/>
      <c r="K495" s="45"/>
    </row>
    <row r="496">
      <c r="A496" s="45"/>
      <c r="B496" s="45"/>
      <c r="C496" s="45"/>
      <c r="D496" s="45"/>
      <c r="E496" s="258"/>
      <c r="F496" s="45"/>
      <c r="G496" s="474"/>
      <c r="H496" s="475"/>
      <c r="I496" s="373"/>
      <c r="J496" s="45"/>
      <c r="K496" s="45"/>
    </row>
    <row r="497">
      <c r="A497" s="45"/>
      <c r="B497" s="45"/>
      <c r="C497" s="45"/>
      <c r="D497" s="45"/>
      <c r="E497" s="258"/>
      <c r="F497" s="45"/>
      <c r="G497" s="474"/>
      <c r="H497" s="475"/>
      <c r="I497" s="373"/>
      <c r="J497" s="45"/>
      <c r="K497" s="45"/>
    </row>
    <row r="498">
      <c r="A498" s="45"/>
      <c r="B498" s="45"/>
      <c r="C498" s="45"/>
      <c r="D498" s="45"/>
      <c r="E498" s="258"/>
      <c r="F498" s="45"/>
      <c r="G498" s="474"/>
      <c r="H498" s="475"/>
      <c r="I498" s="373"/>
      <c r="J498" s="45"/>
      <c r="K498" s="45"/>
    </row>
    <row r="499">
      <c r="A499" s="45"/>
      <c r="B499" s="45"/>
      <c r="C499" s="45"/>
      <c r="D499" s="45"/>
      <c r="E499" s="258"/>
      <c r="F499" s="45"/>
      <c r="G499" s="474"/>
      <c r="H499" s="475"/>
      <c r="I499" s="373"/>
      <c r="J499" s="45"/>
      <c r="K499" s="45"/>
    </row>
    <row r="500">
      <c r="A500" s="45"/>
      <c r="B500" s="45"/>
      <c r="C500" s="45"/>
      <c r="D500" s="45"/>
      <c r="E500" s="258"/>
      <c r="F500" s="45"/>
      <c r="G500" s="474"/>
      <c r="H500" s="475"/>
      <c r="I500" s="373"/>
      <c r="J500" s="45"/>
      <c r="K500" s="45"/>
    </row>
    <row r="501">
      <c r="A501" s="45"/>
      <c r="B501" s="45"/>
      <c r="C501" s="45"/>
      <c r="D501" s="45"/>
      <c r="E501" s="258"/>
      <c r="F501" s="45"/>
      <c r="G501" s="474"/>
      <c r="H501" s="475"/>
      <c r="I501" s="373"/>
      <c r="J501" s="45"/>
      <c r="K501" s="45"/>
    </row>
    <row r="502">
      <c r="A502" s="45"/>
      <c r="B502" s="45"/>
      <c r="C502" s="45"/>
      <c r="D502" s="45"/>
      <c r="E502" s="258"/>
      <c r="F502" s="45"/>
      <c r="G502" s="474"/>
      <c r="H502" s="475"/>
      <c r="I502" s="373"/>
      <c r="J502" s="45"/>
      <c r="K502" s="45"/>
    </row>
    <row r="503">
      <c r="A503" s="45"/>
      <c r="B503" s="45"/>
      <c r="C503" s="45"/>
      <c r="D503" s="45"/>
      <c r="E503" s="258"/>
      <c r="F503" s="45"/>
      <c r="G503" s="474"/>
      <c r="H503" s="475"/>
      <c r="I503" s="373"/>
      <c r="J503" s="45"/>
      <c r="K503" s="45"/>
    </row>
    <row r="504">
      <c r="A504" s="45"/>
      <c r="B504" s="45"/>
      <c r="C504" s="45"/>
      <c r="D504" s="45"/>
      <c r="E504" s="258"/>
      <c r="F504" s="45"/>
      <c r="G504" s="474"/>
      <c r="H504" s="475"/>
      <c r="I504" s="373"/>
      <c r="J504" s="45"/>
      <c r="K504" s="45"/>
    </row>
    <row r="505">
      <c r="A505" s="45"/>
      <c r="B505" s="45"/>
      <c r="C505" s="45"/>
      <c r="D505" s="45"/>
      <c r="E505" s="258"/>
      <c r="F505" s="45"/>
      <c r="G505" s="474"/>
      <c r="H505" s="475"/>
      <c r="I505" s="373"/>
      <c r="J505" s="45"/>
      <c r="K505" s="45"/>
    </row>
    <row r="506">
      <c r="A506" s="45"/>
      <c r="B506" s="45"/>
      <c r="C506" s="45"/>
      <c r="D506" s="45"/>
      <c r="E506" s="258"/>
      <c r="F506" s="45"/>
      <c r="G506" s="474"/>
      <c r="H506" s="475"/>
      <c r="I506" s="373"/>
      <c r="J506" s="45"/>
      <c r="K506" s="45"/>
    </row>
    <row r="507">
      <c r="A507" s="45"/>
      <c r="B507" s="45"/>
      <c r="C507" s="45"/>
      <c r="D507" s="45"/>
      <c r="E507" s="258"/>
      <c r="F507" s="45"/>
      <c r="G507" s="474"/>
      <c r="H507" s="475"/>
      <c r="I507" s="373"/>
      <c r="J507" s="45"/>
      <c r="K507" s="45"/>
    </row>
    <row r="508">
      <c r="A508" s="45"/>
      <c r="B508" s="45"/>
      <c r="C508" s="45"/>
      <c r="D508" s="45"/>
      <c r="E508" s="258"/>
      <c r="F508" s="45"/>
      <c r="G508" s="474"/>
      <c r="H508" s="475"/>
      <c r="I508" s="373"/>
      <c r="J508" s="45"/>
      <c r="K508" s="45"/>
    </row>
    <row r="509">
      <c r="A509" s="45"/>
      <c r="B509" s="45"/>
      <c r="C509" s="45"/>
      <c r="D509" s="45"/>
      <c r="E509" s="258"/>
      <c r="F509" s="45"/>
      <c r="G509" s="474"/>
      <c r="H509" s="475"/>
      <c r="I509" s="373"/>
      <c r="J509" s="45"/>
      <c r="K509" s="45"/>
    </row>
    <row r="510">
      <c r="A510" s="45"/>
      <c r="B510" s="45"/>
      <c r="C510" s="45"/>
      <c r="D510" s="45"/>
      <c r="E510" s="258"/>
      <c r="F510" s="45"/>
      <c r="G510" s="474"/>
      <c r="H510" s="475"/>
      <c r="I510" s="373"/>
      <c r="J510" s="45"/>
      <c r="K510" s="45"/>
    </row>
    <row r="511">
      <c r="A511" s="45"/>
      <c r="B511" s="45"/>
      <c r="C511" s="45"/>
      <c r="D511" s="45"/>
      <c r="E511" s="258"/>
      <c r="F511" s="45"/>
      <c r="G511" s="474"/>
      <c r="H511" s="475"/>
      <c r="I511" s="373"/>
      <c r="J511" s="45"/>
      <c r="K511" s="45"/>
    </row>
    <row r="512">
      <c r="A512" s="45"/>
      <c r="B512" s="45"/>
      <c r="C512" s="45"/>
      <c r="D512" s="45"/>
      <c r="E512" s="258"/>
      <c r="F512" s="45"/>
      <c r="G512" s="474"/>
      <c r="H512" s="475"/>
      <c r="I512" s="373"/>
      <c r="J512" s="45"/>
      <c r="K512" s="45"/>
    </row>
    <row r="513">
      <c r="A513" s="45"/>
      <c r="B513" s="45"/>
      <c r="C513" s="45"/>
      <c r="D513" s="45"/>
      <c r="E513" s="258"/>
      <c r="F513" s="45"/>
      <c r="G513" s="474"/>
      <c r="H513" s="475"/>
      <c r="I513" s="373"/>
      <c r="J513" s="45"/>
      <c r="K513" s="45"/>
    </row>
    <row r="514">
      <c r="A514" s="45"/>
      <c r="B514" s="45"/>
      <c r="C514" s="45"/>
      <c r="D514" s="45"/>
      <c r="E514" s="258"/>
      <c r="F514" s="45"/>
      <c r="G514" s="474"/>
      <c r="H514" s="475"/>
      <c r="I514" s="373"/>
      <c r="J514" s="45"/>
      <c r="K514" s="45"/>
    </row>
    <row r="515">
      <c r="A515" s="45"/>
      <c r="B515" s="45"/>
      <c r="C515" s="45"/>
      <c r="D515" s="45"/>
      <c r="E515" s="258"/>
      <c r="F515" s="45"/>
      <c r="G515" s="474"/>
      <c r="H515" s="475"/>
      <c r="I515" s="373"/>
      <c r="J515" s="45"/>
      <c r="K515" s="45"/>
    </row>
    <row r="516">
      <c r="A516" s="45"/>
      <c r="B516" s="45"/>
      <c r="C516" s="45"/>
      <c r="D516" s="45"/>
      <c r="E516" s="258"/>
      <c r="F516" s="45"/>
      <c r="G516" s="474"/>
      <c r="H516" s="475"/>
      <c r="I516" s="373"/>
      <c r="J516" s="45"/>
      <c r="K516" s="45"/>
    </row>
    <row r="517">
      <c r="A517" s="45"/>
      <c r="B517" s="45"/>
      <c r="C517" s="45"/>
      <c r="D517" s="45"/>
      <c r="E517" s="258"/>
      <c r="F517" s="45"/>
      <c r="G517" s="474"/>
      <c r="H517" s="475"/>
      <c r="I517" s="373"/>
      <c r="J517" s="45"/>
      <c r="K517" s="45"/>
    </row>
    <row r="518">
      <c r="A518" s="45"/>
      <c r="B518" s="45"/>
      <c r="C518" s="45"/>
      <c r="D518" s="45"/>
      <c r="E518" s="258"/>
      <c r="F518" s="45"/>
      <c r="G518" s="474"/>
      <c r="H518" s="475"/>
      <c r="I518" s="373"/>
      <c r="J518" s="45"/>
      <c r="K518" s="45"/>
    </row>
    <row r="519">
      <c r="A519" s="45"/>
      <c r="B519" s="45"/>
      <c r="C519" s="45"/>
      <c r="D519" s="45"/>
      <c r="E519" s="258"/>
      <c r="F519" s="45"/>
      <c r="G519" s="474"/>
      <c r="H519" s="475"/>
      <c r="I519" s="373"/>
      <c r="J519" s="45"/>
      <c r="K519" s="45"/>
    </row>
    <row r="520">
      <c r="A520" s="45"/>
      <c r="B520" s="45"/>
      <c r="C520" s="45"/>
      <c r="D520" s="45"/>
      <c r="E520" s="258"/>
      <c r="F520" s="45"/>
      <c r="G520" s="474"/>
      <c r="H520" s="475"/>
      <c r="I520" s="373"/>
      <c r="J520" s="45"/>
      <c r="K520" s="45"/>
    </row>
    <row r="521">
      <c r="A521" s="45"/>
      <c r="B521" s="45"/>
      <c r="C521" s="45"/>
      <c r="D521" s="45"/>
      <c r="E521" s="258"/>
      <c r="F521" s="45"/>
      <c r="G521" s="474"/>
      <c r="H521" s="475"/>
      <c r="I521" s="373"/>
      <c r="J521" s="45"/>
      <c r="K521" s="45"/>
    </row>
    <row r="522">
      <c r="A522" s="45"/>
      <c r="B522" s="45"/>
      <c r="C522" s="45"/>
      <c r="D522" s="45"/>
      <c r="E522" s="258"/>
      <c r="F522" s="45"/>
      <c r="G522" s="474"/>
      <c r="H522" s="475"/>
      <c r="I522" s="373"/>
      <c r="J522" s="45"/>
      <c r="K522" s="45"/>
    </row>
    <row r="523">
      <c r="A523" s="45"/>
      <c r="B523" s="45"/>
      <c r="C523" s="45"/>
      <c r="D523" s="45"/>
      <c r="E523" s="258"/>
      <c r="F523" s="45"/>
      <c r="G523" s="474"/>
      <c r="H523" s="475"/>
      <c r="I523" s="373"/>
      <c r="J523" s="45"/>
      <c r="K523" s="45"/>
    </row>
    <row r="524">
      <c r="A524" s="45"/>
      <c r="B524" s="45"/>
      <c r="C524" s="45"/>
      <c r="D524" s="45"/>
      <c r="E524" s="258"/>
      <c r="F524" s="45"/>
      <c r="G524" s="474"/>
      <c r="H524" s="475"/>
      <c r="I524" s="373"/>
      <c r="J524" s="45"/>
      <c r="K524" s="45"/>
    </row>
    <row r="525">
      <c r="A525" s="45"/>
      <c r="B525" s="45"/>
      <c r="C525" s="45"/>
      <c r="D525" s="45"/>
      <c r="E525" s="258"/>
      <c r="F525" s="45"/>
      <c r="G525" s="474"/>
      <c r="H525" s="475"/>
      <c r="I525" s="373"/>
      <c r="J525" s="45"/>
      <c r="K525" s="45"/>
    </row>
    <row r="526">
      <c r="A526" s="45"/>
      <c r="B526" s="45"/>
      <c r="C526" s="45"/>
      <c r="D526" s="45"/>
      <c r="E526" s="258"/>
      <c r="F526" s="45"/>
      <c r="G526" s="474"/>
      <c r="H526" s="475"/>
      <c r="I526" s="373"/>
      <c r="J526" s="45"/>
      <c r="K526" s="45"/>
    </row>
    <row r="527">
      <c r="A527" s="45"/>
      <c r="B527" s="45"/>
      <c r="C527" s="45"/>
      <c r="D527" s="45"/>
      <c r="E527" s="258"/>
      <c r="F527" s="45"/>
      <c r="G527" s="474"/>
      <c r="H527" s="475"/>
      <c r="I527" s="373"/>
      <c r="J527" s="45"/>
      <c r="K527" s="45"/>
    </row>
    <row r="528">
      <c r="A528" s="45"/>
      <c r="B528" s="45"/>
      <c r="C528" s="45"/>
      <c r="D528" s="45"/>
      <c r="E528" s="258"/>
      <c r="F528" s="45"/>
      <c r="G528" s="474"/>
      <c r="H528" s="475"/>
      <c r="I528" s="373"/>
      <c r="J528" s="45"/>
      <c r="K528" s="45"/>
    </row>
    <row r="529">
      <c r="A529" s="45"/>
      <c r="B529" s="45"/>
      <c r="C529" s="45"/>
      <c r="D529" s="45"/>
      <c r="E529" s="258"/>
      <c r="F529" s="45"/>
      <c r="G529" s="474"/>
      <c r="H529" s="475"/>
      <c r="I529" s="373"/>
      <c r="J529" s="45"/>
      <c r="K529" s="45"/>
    </row>
    <row r="530">
      <c r="A530" s="45"/>
      <c r="B530" s="45"/>
      <c r="C530" s="45"/>
      <c r="D530" s="45"/>
      <c r="E530" s="258"/>
      <c r="F530" s="45"/>
      <c r="G530" s="474"/>
      <c r="H530" s="475"/>
      <c r="I530" s="373"/>
      <c r="J530" s="45"/>
      <c r="K530" s="45"/>
    </row>
    <row r="531">
      <c r="A531" s="45"/>
      <c r="B531" s="45"/>
      <c r="C531" s="45"/>
      <c r="D531" s="45"/>
      <c r="E531" s="258"/>
      <c r="F531" s="45"/>
      <c r="G531" s="474"/>
      <c r="H531" s="475"/>
      <c r="I531" s="373"/>
      <c r="J531" s="45"/>
      <c r="K531" s="45"/>
    </row>
    <row r="532">
      <c r="A532" s="45"/>
      <c r="B532" s="45"/>
      <c r="C532" s="45"/>
      <c r="D532" s="45"/>
      <c r="E532" s="258"/>
      <c r="F532" s="45"/>
      <c r="G532" s="474"/>
      <c r="H532" s="475"/>
      <c r="I532" s="373"/>
      <c r="J532" s="45"/>
      <c r="K532" s="45"/>
    </row>
    <row r="533">
      <c r="A533" s="45"/>
      <c r="B533" s="45"/>
      <c r="C533" s="45"/>
      <c r="D533" s="45"/>
      <c r="E533" s="258"/>
      <c r="F533" s="45"/>
      <c r="G533" s="474"/>
      <c r="H533" s="475"/>
      <c r="I533" s="373"/>
      <c r="J533" s="45"/>
      <c r="K533" s="45"/>
    </row>
    <row r="534">
      <c r="A534" s="45"/>
      <c r="B534" s="45"/>
      <c r="C534" s="45"/>
      <c r="D534" s="45"/>
      <c r="E534" s="258"/>
      <c r="F534" s="45"/>
      <c r="G534" s="474"/>
      <c r="H534" s="475"/>
      <c r="I534" s="373"/>
      <c r="J534" s="45"/>
      <c r="K534" s="45"/>
    </row>
    <row r="535">
      <c r="A535" s="45"/>
      <c r="B535" s="45"/>
      <c r="C535" s="45"/>
      <c r="D535" s="45"/>
      <c r="E535" s="258"/>
      <c r="F535" s="45"/>
      <c r="G535" s="474"/>
      <c r="H535" s="475"/>
      <c r="I535" s="373"/>
      <c r="J535" s="45"/>
      <c r="K535" s="45"/>
    </row>
    <row r="536">
      <c r="A536" s="45"/>
      <c r="B536" s="45"/>
      <c r="C536" s="45"/>
      <c r="D536" s="45"/>
      <c r="E536" s="258"/>
      <c r="F536" s="45"/>
      <c r="G536" s="474"/>
      <c r="H536" s="475"/>
      <c r="I536" s="373"/>
      <c r="J536" s="45"/>
      <c r="K536" s="45"/>
    </row>
    <row r="537">
      <c r="A537" s="45"/>
      <c r="B537" s="45"/>
      <c r="C537" s="45"/>
      <c r="D537" s="45"/>
      <c r="E537" s="258"/>
      <c r="F537" s="45"/>
      <c r="G537" s="474"/>
      <c r="H537" s="475"/>
      <c r="I537" s="373"/>
      <c r="J537" s="45"/>
      <c r="K537" s="45"/>
    </row>
    <row r="538">
      <c r="A538" s="45"/>
      <c r="B538" s="45"/>
      <c r="C538" s="45"/>
      <c r="D538" s="45"/>
      <c r="E538" s="258"/>
      <c r="F538" s="45"/>
      <c r="G538" s="474"/>
      <c r="H538" s="475"/>
      <c r="I538" s="373"/>
      <c r="J538" s="45"/>
      <c r="K538" s="45"/>
    </row>
    <row r="539">
      <c r="A539" s="45"/>
      <c r="B539" s="45"/>
      <c r="C539" s="45"/>
      <c r="D539" s="45"/>
      <c r="E539" s="258"/>
      <c r="F539" s="45"/>
      <c r="G539" s="474"/>
      <c r="H539" s="475"/>
      <c r="I539" s="373"/>
      <c r="J539" s="45"/>
      <c r="K539" s="45"/>
    </row>
    <row r="540">
      <c r="A540" s="45"/>
      <c r="B540" s="45"/>
      <c r="C540" s="45"/>
      <c r="D540" s="45"/>
      <c r="E540" s="258"/>
      <c r="F540" s="45"/>
      <c r="G540" s="474"/>
      <c r="H540" s="475"/>
      <c r="I540" s="373"/>
      <c r="J540" s="45"/>
      <c r="K540" s="45"/>
    </row>
    <row r="541">
      <c r="A541" s="45"/>
      <c r="B541" s="45"/>
      <c r="C541" s="45"/>
      <c r="D541" s="45"/>
      <c r="E541" s="258"/>
      <c r="F541" s="45"/>
      <c r="G541" s="474"/>
      <c r="H541" s="475"/>
      <c r="I541" s="373"/>
      <c r="J541" s="45"/>
      <c r="K541" s="45"/>
    </row>
    <row r="542">
      <c r="A542" s="45"/>
      <c r="B542" s="45"/>
      <c r="C542" s="45"/>
      <c r="D542" s="45"/>
      <c r="E542" s="258"/>
      <c r="F542" s="45"/>
      <c r="G542" s="474"/>
      <c r="H542" s="475"/>
      <c r="I542" s="373"/>
      <c r="J542" s="45"/>
      <c r="K542" s="45"/>
    </row>
    <row r="543">
      <c r="A543" s="45"/>
      <c r="B543" s="45"/>
      <c r="C543" s="45"/>
      <c r="D543" s="45"/>
      <c r="E543" s="258"/>
      <c r="F543" s="45"/>
      <c r="G543" s="474"/>
      <c r="H543" s="475"/>
      <c r="I543" s="373"/>
      <c r="J543" s="45"/>
      <c r="K543" s="45"/>
    </row>
    <row r="544">
      <c r="A544" s="45"/>
      <c r="B544" s="45"/>
      <c r="C544" s="45"/>
      <c r="D544" s="45"/>
      <c r="E544" s="258"/>
      <c r="F544" s="45"/>
      <c r="G544" s="474"/>
      <c r="H544" s="475"/>
      <c r="I544" s="373"/>
      <c r="J544" s="45"/>
      <c r="K544" s="45"/>
    </row>
    <row r="545">
      <c r="A545" s="45"/>
      <c r="B545" s="45"/>
      <c r="C545" s="45"/>
      <c r="D545" s="45"/>
      <c r="E545" s="258"/>
      <c r="F545" s="45"/>
      <c r="G545" s="474"/>
      <c r="H545" s="475"/>
      <c r="I545" s="373"/>
      <c r="J545" s="45"/>
      <c r="K545" s="45"/>
    </row>
    <row r="546">
      <c r="A546" s="45"/>
      <c r="B546" s="45"/>
      <c r="C546" s="45"/>
      <c r="D546" s="45"/>
      <c r="E546" s="258"/>
      <c r="F546" s="45"/>
      <c r="G546" s="474"/>
      <c r="H546" s="475"/>
      <c r="I546" s="373"/>
      <c r="J546" s="45"/>
      <c r="K546" s="45"/>
    </row>
    <row r="547">
      <c r="A547" s="45"/>
      <c r="B547" s="45"/>
      <c r="C547" s="45"/>
      <c r="D547" s="45"/>
      <c r="E547" s="258"/>
      <c r="F547" s="45"/>
      <c r="G547" s="474"/>
      <c r="H547" s="475"/>
      <c r="I547" s="373"/>
      <c r="J547" s="45"/>
      <c r="K547" s="45"/>
    </row>
    <row r="548">
      <c r="A548" s="45"/>
      <c r="B548" s="45"/>
      <c r="C548" s="45"/>
      <c r="D548" s="45"/>
      <c r="E548" s="258"/>
      <c r="F548" s="45"/>
      <c r="G548" s="474"/>
      <c r="H548" s="475"/>
      <c r="I548" s="373"/>
      <c r="J548" s="45"/>
      <c r="K548" s="45"/>
    </row>
    <row r="549">
      <c r="A549" s="45"/>
      <c r="B549" s="45"/>
      <c r="C549" s="45"/>
      <c r="D549" s="45"/>
      <c r="E549" s="258"/>
      <c r="F549" s="45"/>
      <c r="G549" s="474"/>
      <c r="H549" s="475"/>
      <c r="I549" s="373"/>
      <c r="J549" s="45"/>
      <c r="K549" s="45"/>
    </row>
    <row r="550">
      <c r="A550" s="45"/>
      <c r="B550" s="45"/>
      <c r="C550" s="45"/>
      <c r="D550" s="45"/>
      <c r="E550" s="258"/>
      <c r="F550" s="45"/>
      <c r="G550" s="474"/>
      <c r="H550" s="475"/>
      <c r="I550" s="373"/>
      <c r="J550" s="45"/>
      <c r="K550" s="45"/>
    </row>
    <row r="551">
      <c r="A551" s="45"/>
      <c r="B551" s="45"/>
      <c r="C551" s="45"/>
      <c r="D551" s="45"/>
      <c r="E551" s="258"/>
      <c r="F551" s="45"/>
      <c r="G551" s="474"/>
      <c r="H551" s="475"/>
      <c r="I551" s="373"/>
      <c r="J551" s="45"/>
      <c r="K551" s="45"/>
    </row>
    <row r="552">
      <c r="A552" s="45"/>
      <c r="B552" s="45"/>
      <c r="C552" s="45"/>
      <c r="D552" s="45"/>
      <c r="E552" s="258"/>
      <c r="F552" s="45"/>
      <c r="G552" s="474"/>
      <c r="H552" s="475"/>
      <c r="I552" s="373"/>
      <c r="J552" s="45"/>
      <c r="K552" s="45"/>
    </row>
    <row r="553">
      <c r="A553" s="45"/>
      <c r="B553" s="45"/>
      <c r="C553" s="45"/>
      <c r="D553" s="45"/>
      <c r="E553" s="258"/>
      <c r="F553" s="45"/>
      <c r="G553" s="474"/>
      <c r="H553" s="475"/>
      <c r="I553" s="373"/>
      <c r="J553" s="45"/>
      <c r="K553" s="45"/>
    </row>
    <row r="554">
      <c r="A554" s="45"/>
      <c r="B554" s="45"/>
      <c r="C554" s="45"/>
      <c r="D554" s="45"/>
      <c r="E554" s="258"/>
      <c r="F554" s="45"/>
      <c r="G554" s="474"/>
      <c r="H554" s="475"/>
      <c r="I554" s="373"/>
      <c r="J554" s="45"/>
      <c r="K554" s="45"/>
    </row>
    <row r="555">
      <c r="A555" s="45"/>
      <c r="B555" s="45"/>
      <c r="C555" s="45"/>
      <c r="D555" s="45"/>
      <c r="E555" s="258"/>
      <c r="F555" s="45"/>
      <c r="G555" s="474"/>
      <c r="H555" s="475"/>
      <c r="I555" s="373"/>
      <c r="J555" s="45"/>
      <c r="K555" s="45"/>
    </row>
    <row r="556">
      <c r="A556" s="45"/>
      <c r="B556" s="45"/>
      <c r="C556" s="45"/>
      <c r="D556" s="45"/>
      <c r="E556" s="258"/>
      <c r="F556" s="45"/>
      <c r="G556" s="474"/>
      <c r="H556" s="475"/>
      <c r="I556" s="373"/>
      <c r="J556" s="45"/>
      <c r="K556" s="45"/>
    </row>
    <row r="557">
      <c r="A557" s="45"/>
      <c r="B557" s="45"/>
      <c r="C557" s="45"/>
      <c r="D557" s="45"/>
      <c r="E557" s="258"/>
      <c r="F557" s="45"/>
      <c r="G557" s="474"/>
      <c r="H557" s="475"/>
      <c r="I557" s="373"/>
      <c r="J557" s="45"/>
      <c r="K557" s="45"/>
    </row>
    <row r="558">
      <c r="A558" s="45"/>
      <c r="B558" s="45"/>
      <c r="C558" s="45"/>
      <c r="D558" s="45"/>
      <c r="E558" s="258"/>
      <c r="F558" s="45"/>
      <c r="G558" s="474"/>
      <c r="H558" s="475"/>
      <c r="I558" s="373"/>
      <c r="J558" s="45"/>
      <c r="K558" s="45"/>
    </row>
    <row r="559">
      <c r="A559" s="45"/>
      <c r="B559" s="45"/>
      <c r="C559" s="45"/>
      <c r="D559" s="45"/>
      <c r="E559" s="258"/>
      <c r="F559" s="45"/>
      <c r="G559" s="474"/>
      <c r="H559" s="475"/>
      <c r="I559" s="373"/>
      <c r="J559" s="45"/>
      <c r="K559" s="45"/>
    </row>
    <row r="560">
      <c r="A560" s="45"/>
      <c r="B560" s="45"/>
      <c r="C560" s="45"/>
      <c r="D560" s="45"/>
      <c r="E560" s="258"/>
      <c r="F560" s="45"/>
      <c r="G560" s="474"/>
      <c r="H560" s="475"/>
      <c r="I560" s="373"/>
      <c r="J560" s="45"/>
      <c r="K560" s="45"/>
    </row>
    <row r="561">
      <c r="A561" s="45"/>
      <c r="B561" s="45"/>
      <c r="C561" s="45"/>
      <c r="D561" s="45"/>
      <c r="E561" s="258"/>
      <c r="F561" s="45"/>
      <c r="G561" s="474"/>
      <c r="H561" s="475"/>
      <c r="I561" s="373"/>
      <c r="J561" s="45"/>
      <c r="K561" s="45"/>
    </row>
    <row r="562">
      <c r="A562" s="45"/>
      <c r="B562" s="45"/>
      <c r="C562" s="45"/>
      <c r="D562" s="45"/>
      <c r="E562" s="258"/>
      <c r="F562" s="45"/>
      <c r="G562" s="474"/>
      <c r="H562" s="475"/>
      <c r="I562" s="373"/>
      <c r="J562" s="45"/>
      <c r="K562" s="45"/>
    </row>
    <row r="563">
      <c r="A563" s="45"/>
      <c r="B563" s="45"/>
      <c r="C563" s="45"/>
      <c r="D563" s="45"/>
      <c r="E563" s="258"/>
      <c r="F563" s="45"/>
      <c r="G563" s="474"/>
      <c r="H563" s="475"/>
      <c r="I563" s="373"/>
      <c r="J563" s="45"/>
      <c r="K563" s="45"/>
    </row>
    <row r="564">
      <c r="A564" s="45"/>
      <c r="B564" s="45"/>
      <c r="C564" s="45"/>
      <c r="D564" s="45"/>
      <c r="E564" s="258"/>
      <c r="F564" s="45"/>
      <c r="G564" s="474"/>
      <c r="H564" s="475"/>
      <c r="I564" s="373"/>
      <c r="J564" s="45"/>
      <c r="K564" s="45"/>
    </row>
    <row r="565">
      <c r="A565" s="45"/>
      <c r="B565" s="45"/>
      <c r="C565" s="45"/>
      <c r="D565" s="45"/>
      <c r="E565" s="258"/>
      <c r="F565" s="45"/>
      <c r="G565" s="474"/>
      <c r="H565" s="475"/>
      <c r="I565" s="373"/>
      <c r="J565" s="45"/>
      <c r="K565" s="45"/>
    </row>
    <row r="566">
      <c r="A566" s="45"/>
      <c r="B566" s="45"/>
      <c r="C566" s="45"/>
      <c r="D566" s="45"/>
      <c r="E566" s="258"/>
      <c r="F566" s="45"/>
      <c r="G566" s="474"/>
      <c r="H566" s="475"/>
      <c r="I566" s="373"/>
      <c r="J566" s="45"/>
      <c r="K566" s="45"/>
    </row>
    <row r="567">
      <c r="A567" s="45"/>
      <c r="B567" s="45"/>
      <c r="C567" s="45"/>
      <c r="D567" s="45"/>
      <c r="E567" s="258"/>
      <c r="F567" s="45"/>
      <c r="G567" s="474"/>
      <c r="H567" s="475"/>
      <c r="I567" s="373"/>
      <c r="J567" s="45"/>
      <c r="K567" s="45"/>
    </row>
    <row r="568">
      <c r="A568" s="45"/>
      <c r="B568" s="45"/>
      <c r="C568" s="45"/>
      <c r="D568" s="45"/>
      <c r="E568" s="258"/>
      <c r="F568" s="45"/>
      <c r="G568" s="474"/>
      <c r="H568" s="475"/>
      <c r="I568" s="373"/>
      <c r="J568" s="45"/>
      <c r="K568" s="45"/>
    </row>
    <row r="569">
      <c r="A569" s="45"/>
      <c r="B569" s="45"/>
      <c r="C569" s="45"/>
      <c r="D569" s="45"/>
      <c r="E569" s="258"/>
      <c r="F569" s="45"/>
      <c r="G569" s="474"/>
      <c r="H569" s="475"/>
      <c r="I569" s="373"/>
      <c r="J569" s="45"/>
      <c r="K569" s="45"/>
    </row>
    <row r="570">
      <c r="A570" s="45"/>
      <c r="B570" s="45"/>
      <c r="C570" s="45"/>
      <c r="D570" s="45"/>
      <c r="E570" s="258"/>
      <c r="F570" s="45"/>
      <c r="G570" s="474"/>
      <c r="H570" s="475"/>
      <c r="I570" s="373"/>
      <c r="J570" s="45"/>
      <c r="K570" s="45"/>
    </row>
    <row r="571">
      <c r="A571" s="45"/>
      <c r="B571" s="45"/>
      <c r="C571" s="45"/>
      <c r="D571" s="45"/>
      <c r="E571" s="258"/>
      <c r="F571" s="45"/>
      <c r="G571" s="474"/>
      <c r="H571" s="475"/>
      <c r="I571" s="373"/>
      <c r="J571" s="45"/>
      <c r="K571" s="45"/>
    </row>
    <row r="572">
      <c r="A572" s="45"/>
      <c r="B572" s="45"/>
      <c r="C572" s="45"/>
      <c r="D572" s="45"/>
      <c r="E572" s="258"/>
      <c r="F572" s="45"/>
      <c r="G572" s="474"/>
      <c r="H572" s="475"/>
      <c r="I572" s="373"/>
      <c r="J572" s="45"/>
      <c r="K572" s="45"/>
    </row>
    <row r="573">
      <c r="A573" s="45"/>
      <c r="B573" s="45"/>
      <c r="C573" s="45"/>
      <c r="D573" s="45"/>
      <c r="E573" s="258"/>
      <c r="F573" s="45"/>
      <c r="G573" s="474"/>
      <c r="H573" s="475"/>
      <c r="I573" s="373"/>
      <c r="J573" s="45"/>
      <c r="K573" s="45"/>
    </row>
    <row r="574">
      <c r="A574" s="45"/>
      <c r="B574" s="45"/>
      <c r="C574" s="45"/>
      <c r="D574" s="45"/>
      <c r="E574" s="258"/>
      <c r="F574" s="45"/>
      <c r="G574" s="474"/>
      <c r="H574" s="475"/>
      <c r="I574" s="373"/>
      <c r="J574" s="45"/>
      <c r="K574" s="45"/>
    </row>
    <row r="575">
      <c r="A575" s="45"/>
      <c r="B575" s="45"/>
      <c r="C575" s="45"/>
      <c r="D575" s="45"/>
      <c r="E575" s="258"/>
      <c r="F575" s="45"/>
      <c r="G575" s="474"/>
      <c r="H575" s="475"/>
      <c r="I575" s="373"/>
      <c r="J575" s="45"/>
      <c r="K575" s="45"/>
    </row>
    <row r="576">
      <c r="A576" s="45"/>
      <c r="B576" s="45"/>
      <c r="C576" s="45"/>
      <c r="D576" s="45"/>
      <c r="E576" s="258"/>
      <c r="F576" s="45"/>
      <c r="G576" s="474"/>
      <c r="H576" s="475"/>
      <c r="I576" s="373"/>
      <c r="J576" s="45"/>
      <c r="K576" s="45"/>
    </row>
    <row r="577">
      <c r="A577" s="45"/>
      <c r="B577" s="45"/>
      <c r="C577" s="45"/>
      <c r="D577" s="45"/>
      <c r="E577" s="258"/>
      <c r="F577" s="45"/>
      <c r="G577" s="474"/>
      <c r="H577" s="475"/>
      <c r="I577" s="373"/>
      <c r="J577" s="45"/>
      <c r="K577" s="45"/>
    </row>
    <row r="578">
      <c r="A578" s="45"/>
      <c r="B578" s="45"/>
      <c r="C578" s="45"/>
      <c r="D578" s="45"/>
      <c r="E578" s="258"/>
      <c r="F578" s="45"/>
      <c r="G578" s="474"/>
      <c r="H578" s="475"/>
      <c r="I578" s="373"/>
      <c r="J578" s="45"/>
      <c r="K578" s="45"/>
    </row>
    <row r="579">
      <c r="A579" s="45"/>
      <c r="B579" s="45"/>
      <c r="C579" s="45"/>
      <c r="D579" s="45"/>
      <c r="E579" s="258"/>
      <c r="F579" s="45"/>
      <c r="G579" s="474"/>
      <c r="H579" s="475"/>
      <c r="I579" s="373"/>
      <c r="J579" s="45"/>
      <c r="K579" s="45"/>
    </row>
    <row r="580">
      <c r="A580" s="45"/>
      <c r="B580" s="45"/>
      <c r="C580" s="45"/>
      <c r="D580" s="45"/>
      <c r="E580" s="258"/>
      <c r="F580" s="45"/>
      <c r="G580" s="474"/>
      <c r="H580" s="475"/>
      <c r="I580" s="373"/>
      <c r="J580" s="45"/>
      <c r="K580" s="45"/>
    </row>
    <row r="581">
      <c r="A581" s="45"/>
      <c r="B581" s="45"/>
      <c r="C581" s="45"/>
      <c r="D581" s="45"/>
      <c r="E581" s="258"/>
      <c r="F581" s="45"/>
      <c r="G581" s="474"/>
      <c r="H581" s="475"/>
      <c r="I581" s="373"/>
      <c r="J581" s="45"/>
      <c r="K581" s="45"/>
    </row>
    <row r="582">
      <c r="A582" s="45"/>
      <c r="B582" s="45"/>
      <c r="C582" s="45"/>
      <c r="D582" s="45"/>
      <c r="E582" s="258"/>
      <c r="F582" s="45"/>
      <c r="G582" s="474"/>
      <c r="H582" s="475"/>
      <c r="I582" s="373"/>
      <c r="J582" s="45"/>
      <c r="K582" s="45"/>
    </row>
    <row r="583">
      <c r="A583" s="45"/>
      <c r="B583" s="45"/>
      <c r="C583" s="45"/>
      <c r="D583" s="45"/>
      <c r="E583" s="258"/>
      <c r="F583" s="45"/>
      <c r="G583" s="474"/>
      <c r="H583" s="475"/>
      <c r="I583" s="373"/>
      <c r="J583" s="45"/>
      <c r="K583" s="45"/>
    </row>
    <row r="584">
      <c r="A584" s="45"/>
      <c r="B584" s="45"/>
      <c r="C584" s="45"/>
      <c r="D584" s="45"/>
      <c r="E584" s="258"/>
      <c r="F584" s="45"/>
      <c r="G584" s="474"/>
      <c r="H584" s="475"/>
      <c r="I584" s="373"/>
      <c r="J584" s="45"/>
      <c r="K584" s="45"/>
    </row>
    <row r="585">
      <c r="A585" s="45"/>
      <c r="B585" s="45"/>
      <c r="C585" s="45"/>
      <c r="D585" s="45"/>
      <c r="E585" s="258"/>
      <c r="F585" s="45"/>
      <c r="G585" s="474"/>
      <c r="H585" s="475"/>
      <c r="I585" s="373"/>
      <c r="J585" s="45"/>
      <c r="K585" s="45"/>
    </row>
    <row r="586">
      <c r="A586" s="45"/>
      <c r="B586" s="45"/>
      <c r="C586" s="45"/>
      <c r="D586" s="45"/>
      <c r="E586" s="258"/>
      <c r="F586" s="45"/>
      <c r="G586" s="474"/>
      <c r="H586" s="475"/>
      <c r="I586" s="373"/>
      <c r="J586" s="45"/>
      <c r="K586" s="45"/>
    </row>
    <row r="587">
      <c r="A587" s="45"/>
      <c r="B587" s="45"/>
      <c r="C587" s="45"/>
      <c r="D587" s="45"/>
      <c r="E587" s="258"/>
      <c r="F587" s="45"/>
      <c r="G587" s="474"/>
      <c r="H587" s="475"/>
      <c r="I587" s="373"/>
      <c r="J587" s="45"/>
      <c r="K587" s="45"/>
    </row>
    <row r="588">
      <c r="A588" s="45"/>
      <c r="B588" s="45"/>
      <c r="C588" s="45"/>
      <c r="D588" s="45"/>
      <c r="E588" s="258"/>
      <c r="F588" s="45"/>
      <c r="G588" s="474"/>
      <c r="H588" s="475"/>
      <c r="I588" s="373"/>
      <c r="J588" s="45"/>
      <c r="K588" s="45"/>
    </row>
    <row r="589">
      <c r="A589" s="45"/>
      <c r="B589" s="45"/>
      <c r="C589" s="45"/>
      <c r="D589" s="45"/>
      <c r="E589" s="258"/>
      <c r="F589" s="45"/>
      <c r="G589" s="474"/>
      <c r="H589" s="475"/>
      <c r="I589" s="373"/>
      <c r="J589" s="45"/>
      <c r="K589" s="45"/>
    </row>
    <row r="590">
      <c r="A590" s="45"/>
      <c r="B590" s="45"/>
      <c r="C590" s="45"/>
      <c r="D590" s="45"/>
      <c r="E590" s="258"/>
      <c r="F590" s="45"/>
      <c r="G590" s="474"/>
      <c r="H590" s="475"/>
      <c r="I590" s="373"/>
      <c r="J590" s="45"/>
      <c r="K590" s="45"/>
    </row>
    <row r="591">
      <c r="A591" s="45"/>
      <c r="B591" s="45"/>
      <c r="C591" s="45"/>
      <c r="D591" s="45"/>
      <c r="E591" s="258"/>
      <c r="F591" s="45"/>
      <c r="G591" s="474"/>
      <c r="H591" s="475"/>
      <c r="I591" s="373"/>
      <c r="J591" s="45"/>
      <c r="K591" s="45"/>
    </row>
    <row r="592">
      <c r="A592" s="45"/>
      <c r="B592" s="45"/>
      <c r="C592" s="45"/>
      <c r="D592" s="45"/>
      <c r="E592" s="258"/>
      <c r="F592" s="45"/>
      <c r="G592" s="474"/>
      <c r="H592" s="475"/>
      <c r="I592" s="373"/>
      <c r="J592" s="45"/>
      <c r="K592" s="45"/>
    </row>
    <row r="593">
      <c r="A593" s="45"/>
      <c r="B593" s="45"/>
      <c r="C593" s="45"/>
      <c r="D593" s="45"/>
      <c r="E593" s="258"/>
      <c r="F593" s="45"/>
      <c r="G593" s="474"/>
      <c r="H593" s="475"/>
      <c r="I593" s="373"/>
      <c r="J593" s="45"/>
      <c r="K593" s="45"/>
    </row>
    <row r="594">
      <c r="A594" s="45"/>
      <c r="B594" s="45"/>
      <c r="C594" s="45"/>
      <c r="D594" s="45"/>
      <c r="E594" s="258"/>
      <c r="F594" s="45"/>
      <c r="G594" s="474"/>
      <c r="H594" s="475"/>
      <c r="I594" s="373"/>
      <c r="J594" s="45"/>
      <c r="K594" s="45"/>
    </row>
    <row r="595">
      <c r="A595" s="45"/>
      <c r="B595" s="45"/>
      <c r="C595" s="45"/>
      <c r="D595" s="45"/>
      <c r="E595" s="258"/>
      <c r="F595" s="45"/>
      <c r="G595" s="474"/>
      <c r="H595" s="475"/>
      <c r="I595" s="373"/>
      <c r="J595" s="45"/>
      <c r="K595" s="45"/>
    </row>
    <row r="596">
      <c r="A596" s="45"/>
      <c r="B596" s="45"/>
      <c r="C596" s="45"/>
      <c r="D596" s="45"/>
      <c r="E596" s="258"/>
      <c r="F596" s="45"/>
      <c r="G596" s="474"/>
      <c r="H596" s="475"/>
      <c r="I596" s="373"/>
      <c r="J596" s="45"/>
      <c r="K596" s="45"/>
    </row>
    <row r="597">
      <c r="A597" s="45"/>
      <c r="B597" s="45"/>
      <c r="C597" s="45"/>
      <c r="D597" s="45"/>
      <c r="E597" s="258"/>
      <c r="F597" s="45"/>
      <c r="G597" s="474"/>
      <c r="H597" s="475"/>
      <c r="I597" s="373"/>
      <c r="J597" s="45"/>
      <c r="K597" s="45"/>
    </row>
    <row r="598">
      <c r="A598" s="45"/>
      <c r="B598" s="45"/>
      <c r="C598" s="45"/>
      <c r="D598" s="45"/>
      <c r="E598" s="258"/>
      <c r="F598" s="45"/>
      <c r="G598" s="474"/>
      <c r="H598" s="475"/>
      <c r="I598" s="373"/>
      <c r="J598" s="45"/>
      <c r="K598" s="45"/>
    </row>
    <row r="599">
      <c r="A599" s="45"/>
      <c r="B599" s="45"/>
      <c r="C599" s="45"/>
      <c r="D599" s="45"/>
      <c r="E599" s="258"/>
      <c r="F599" s="45"/>
      <c r="G599" s="474"/>
      <c r="H599" s="475"/>
      <c r="I599" s="373"/>
      <c r="J599" s="45"/>
      <c r="K599" s="45"/>
    </row>
    <row r="600">
      <c r="A600" s="45"/>
      <c r="B600" s="45"/>
      <c r="C600" s="45"/>
      <c r="D600" s="45"/>
      <c r="E600" s="258"/>
      <c r="F600" s="45"/>
      <c r="G600" s="474"/>
      <c r="H600" s="475"/>
      <c r="I600" s="373"/>
      <c r="J600" s="45"/>
      <c r="K600" s="45"/>
    </row>
    <row r="601">
      <c r="A601" s="45"/>
      <c r="B601" s="45"/>
      <c r="C601" s="45"/>
      <c r="D601" s="45"/>
      <c r="E601" s="258"/>
      <c r="F601" s="45"/>
      <c r="G601" s="474"/>
      <c r="H601" s="475"/>
      <c r="I601" s="373"/>
      <c r="J601" s="45"/>
      <c r="K601" s="45"/>
    </row>
    <row r="602">
      <c r="A602" s="45"/>
      <c r="B602" s="45"/>
      <c r="C602" s="45"/>
      <c r="D602" s="45"/>
      <c r="E602" s="258"/>
      <c r="F602" s="45"/>
      <c r="G602" s="474"/>
      <c r="H602" s="475"/>
      <c r="I602" s="373"/>
      <c r="J602" s="45"/>
      <c r="K602" s="45"/>
    </row>
    <row r="603">
      <c r="A603" s="45"/>
      <c r="B603" s="45"/>
      <c r="C603" s="45"/>
      <c r="D603" s="45"/>
      <c r="E603" s="258"/>
      <c r="F603" s="45"/>
      <c r="G603" s="474"/>
      <c r="H603" s="475"/>
      <c r="I603" s="373"/>
      <c r="J603" s="45"/>
      <c r="K603" s="45"/>
    </row>
    <row r="604">
      <c r="A604" s="45"/>
      <c r="B604" s="45"/>
      <c r="C604" s="45"/>
      <c r="D604" s="45"/>
      <c r="E604" s="258"/>
      <c r="F604" s="45"/>
      <c r="G604" s="474"/>
      <c r="H604" s="475"/>
      <c r="I604" s="373"/>
      <c r="J604" s="45"/>
      <c r="K604" s="45"/>
    </row>
    <row r="605">
      <c r="A605" s="45"/>
      <c r="B605" s="45"/>
      <c r="C605" s="45"/>
      <c r="D605" s="45"/>
      <c r="E605" s="258"/>
      <c r="F605" s="45"/>
      <c r="G605" s="474"/>
      <c r="H605" s="475"/>
      <c r="I605" s="373"/>
      <c r="J605" s="45"/>
      <c r="K605" s="45"/>
    </row>
    <row r="606">
      <c r="A606" s="45"/>
      <c r="B606" s="45"/>
      <c r="C606" s="45"/>
      <c r="D606" s="45"/>
      <c r="E606" s="258"/>
      <c r="F606" s="45"/>
      <c r="G606" s="474"/>
      <c r="H606" s="475"/>
      <c r="I606" s="373"/>
      <c r="J606" s="45"/>
      <c r="K606" s="45"/>
    </row>
    <row r="607">
      <c r="A607" s="45"/>
      <c r="B607" s="45"/>
      <c r="C607" s="45"/>
      <c r="D607" s="45"/>
      <c r="E607" s="258"/>
      <c r="F607" s="45"/>
      <c r="G607" s="474"/>
      <c r="H607" s="475"/>
      <c r="I607" s="373"/>
      <c r="J607" s="45"/>
      <c r="K607" s="45"/>
    </row>
    <row r="608">
      <c r="A608" s="45"/>
      <c r="B608" s="45"/>
      <c r="C608" s="45"/>
      <c r="D608" s="45"/>
      <c r="E608" s="258"/>
      <c r="F608" s="45"/>
      <c r="G608" s="474"/>
      <c r="H608" s="475"/>
      <c r="I608" s="373"/>
      <c r="J608" s="45"/>
      <c r="K608" s="45"/>
    </row>
    <row r="609">
      <c r="A609" s="45"/>
      <c r="B609" s="45"/>
      <c r="C609" s="45"/>
      <c r="D609" s="45"/>
      <c r="E609" s="258"/>
      <c r="F609" s="45"/>
      <c r="G609" s="474"/>
      <c r="H609" s="475"/>
      <c r="I609" s="373"/>
      <c r="J609" s="45"/>
      <c r="K609" s="45"/>
    </row>
    <row r="610">
      <c r="A610" s="45"/>
      <c r="B610" s="45"/>
      <c r="C610" s="45"/>
      <c r="D610" s="45"/>
      <c r="E610" s="258"/>
      <c r="F610" s="45"/>
      <c r="G610" s="474"/>
      <c r="H610" s="475"/>
      <c r="I610" s="373"/>
      <c r="J610" s="45"/>
      <c r="K610" s="45"/>
    </row>
    <row r="611">
      <c r="A611" s="45"/>
      <c r="B611" s="45"/>
      <c r="C611" s="45"/>
      <c r="D611" s="45"/>
      <c r="E611" s="258"/>
      <c r="F611" s="45"/>
      <c r="G611" s="474"/>
      <c r="H611" s="475"/>
      <c r="I611" s="373"/>
      <c r="J611" s="45"/>
      <c r="K611" s="45"/>
    </row>
    <row r="612">
      <c r="A612" s="45"/>
      <c r="B612" s="45"/>
      <c r="C612" s="45"/>
      <c r="D612" s="45"/>
      <c r="E612" s="258"/>
      <c r="F612" s="45"/>
      <c r="G612" s="474"/>
      <c r="H612" s="475"/>
      <c r="I612" s="373"/>
      <c r="J612" s="45"/>
      <c r="K612" s="45"/>
    </row>
    <row r="613">
      <c r="A613" s="45"/>
      <c r="B613" s="45"/>
      <c r="C613" s="45"/>
      <c r="D613" s="45"/>
      <c r="E613" s="258"/>
      <c r="F613" s="45"/>
      <c r="G613" s="474"/>
      <c r="H613" s="475"/>
      <c r="I613" s="373"/>
      <c r="J613" s="45"/>
      <c r="K613" s="45"/>
    </row>
    <row r="614">
      <c r="A614" s="45"/>
      <c r="B614" s="45"/>
      <c r="C614" s="45"/>
      <c r="D614" s="45"/>
      <c r="E614" s="258"/>
      <c r="F614" s="45"/>
      <c r="G614" s="474"/>
      <c r="H614" s="475"/>
      <c r="I614" s="373"/>
      <c r="J614" s="45"/>
      <c r="K614" s="45"/>
    </row>
    <row r="615">
      <c r="A615" s="45"/>
      <c r="B615" s="45"/>
      <c r="C615" s="45"/>
      <c r="D615" s="45"/>
      <c r="E615" s="258"/>
      <c r="F615" s="45"/>
      <c r="G615" s="474"/>
      <c r="H615" s="475"/>
      <c r="I615" s="373"/>
      <c r="J615" s="45"/>
      <c r="K615" s="45"/>
    </row>
    <row r="616">
      <c r="A616" s="45"/>
      <c r="B616" s="45"/>
      <c r="C616" s="45"/>
      <c r="D616" s="45"/>
      <c r="E616" s="258"/>
      <c r="F616" s="45"/>
      <c r="G616" s="474"/>
      <c r="H616" s="475"/>
      <c r="I616" s="373"/>
      <c r="J616" s="45"/>
      <c r="K616" s="45"/>
    </row>
    <row r="617">
      <c r="A617" s="45"/>
      <c r="B617" s="45"/>
      <c r="C617" s="45"/>
      <c r="D617" s="45"/>
      <c r="E617" s="258"/>
      <c r="F617" s="45"/>
      <c r="G617" s="474"/>
      <c r="H617" s="475"/>
      <c r="I617" s="373"/>
      <c r="J617" s="45"/>
      <c r="K617" s="45"/>
    </row>
    <row r="618">
      <c r="A618" s="45"/>
      <c r="B618" s="45"/>
      <c r="C618" s="45"/>
      <c r="D618" s="45"/>
      <c r="E618" s="258"/>
      <c r="F618" s="45"/>
      <c r="G618" s="474"/>
      <c r="H618" s="475"/>
      <c r="I618" s="373"/>
      <c r="J618" s="45"/>
      <c r="K618" s="45"/>
    </row>
    <row r="619">
      <c r="A619" s="45"/>
      <c r="B619" s="45"/>
      <c r="C619" s="45"/>
      <c r="D619" s="45"/>
      <c r="E619" s="258"/>
      <c r="F619" s="45"/>
      <c r="G619" s="474"/>
      <c r="H619" s="475"/>
      <c r="I619" s="373"/>
      <c r="J619" s="45"/>
      <c r="K619" s="45"/>
    </row>
    <row r="620">
      <c r="A620" s="45"/>
      <c r="B620" s="45"/>
      <c r="C620" s="45"/>
      <c r="D620" s="45"/>
      <c r="E620" s="258"/>
      <c r="F620" s="45"/>
      <c r="G620" s="474"/>
      <c r="H620" s="475"/>
      <c r="I620" s="373"/>
      <c r="J620" s="45"/>
      <c r="K620" s="45"/>
    </row>
    <row r="621">
      <c r="A621" s="45"/>
      <c r="B621" s="45"/>
      <c r="C621" s="45"/>
      <c r="D621" s="45"/>
      <c r="E621" s="258"/>
      <c r="F621" s="45"/>
      <c r="G621" s="474"/>
      <c r="H621" s="475"/>
      <c r="I621" s="373"/>
      <c r="J621" s="45"/>
      <c r="K621" s="45"/>
    </row>
    <row r="622">
      <c r="A622" s="45"/>
      <c r="B622" s="45"/>
      <c r="C622" s="45"/>
      <c r="D622" s="45"/>
      <c r="E622" s="258"/>
      <c r="F622" s="45"/>
      <c r="G622" s="474"/>
      <c r="H622" s="475"/>
      <c r="I622" s="373"/>
      <c r="J622" s="45"/>
      <c r="K622" s="45"/>
    </row>
    <row r="623">
      <c r="A623" s="45"/>
      <c r="B623" s="45"/>
      <c r="C623" s="45"/>
      <c r="D623" s="45"/>
      <c r="E623" s="258"/>
      <c r="F623" s="45"/>
      <c r="G623" s="474"/>
      <c r="H623" s="475"/>
      <c r="I623" s="373"/>
      <c r="J623" s="45"/>
      <c r="K623" s="45"/>
    </row>
    <row r="624">
      <c r="A624" s="45"/>
      <c r="B624" s="45"/>
      <c r="C624" s="45"/>
      <c r="D624" s="45"/>
      <c r="E624" s="258"/>
      <c r="F624" s="45"/>
      <c r="G624" s="474"/>
      <c r="H624" s="475"/>
      <c r="I624" s="373"/>
      <c r="J624" s="45"/>
      <c r="K624" s="45"/>
    </row>
    <row r="625">
      <c r="A625" s="45"/>
      <c r="B625" s="45"/>
      <c r="C625" s="45"/>
      <c r="D625" s="45"/>
      <c r="E625" s="258"/>
      <c r="F625" s="45"/>
      <c r="G625" s="474"/>
      <c r="H625" s="475"/>
      <c r="I625" s="373"/>
      <c r="J625" s="45"/>
      <c r="K625" s="45"/>
    </row>
    <row r="626">
      <c r="A626" s="45"/>
      <c r="B626" s="45"/>
      <c r="C626" s="45"/>
      <c r="D626" s="45"/>
      <c r="E626" s="258"/>
      <c r="F626" s="45"/>
      <c r="G626" s="474"/>
      <c r="H626" s="475"/>
      <c r="I626" s="373"/>
      <c r="J626" s="45"/>
      <c r="K626" s="45"/>
    </row>
    <row r="627">
      <c r="A627" s="45"/>
      <c r="B627" s="45"/>
      <c r="C627" s="45"/>
      <c r="D627" s="45"/>
      <c r="E627" s="258"/>
      <c r="F627" s="45"/>
      <c r="G627" s="474"/>
      <c r="H627" s="475"/>
      <c r="I627" s="373"/>
      <c r="J627" s="45"/>
      <c r="K627" s="45"/>
    </row>
    <row r="628">
      <c r="A628" s="45"/>
      <c r="B628" s="45"/>
      <c r="C628" s="45"/>
      <c r="D628" s="45"/>
      <c r="E628" s="258"/>
      <c r="F628" s="45"/>
      <c r="G628" s="474"/>
      <c r="H628" s="475"/>
      <c r="I628" s="373"/>
      <c r="J628" s="45"/>
      <c r="K628" s="45"/>
    </row>
    <row r="629">
      <c r="A629" s="45"/>
      <c r="B629" s="45"/>
      <c r="C629" s="45"/>
      <c r="D629" s="45"/>
      <c r="E629" s="258"/>
      <c r="F629" s="45"/>
      <c r="G629" s="474"/>
      <c r="H629" s="475"/>
      <c r="I629" s="373"/>
      <c r="J629" s="45"/>
      <c r="K629" s="45"/>
    </row>
    <row r="630">
      <c r="A630" s="45"/>
      <c r="B630" s="45"/>
      <c r="C630" s="45"/>
      <c r="D630" s="45"/>
      <c r="E630" s="258"/>
      <c r="F630" s="45"/>
      <c r="G630" s="474"/>
      <c r="H630" s="475"/>
      <c r="I630" s="373"/>
      <c r="J630" s="45"/>
      <c r="K630" s="45"/>
    </row>
    <row r="631">
      <c r="A631" s="45"/>
      <c r="B631" s="45"/>
      <c r="C631" s="45"/>
      <c r="D631" s="45"/>
      <c r="E631" s="258"/>
      <c r="F631" s="45"/>
      <c r="G631" s="474"/>
      <c r="H631" s="475"/>
      <c r="I631" s="373"/>
      <c r="J631" s="45"/>
      <c r="K631" s="45"/>
    </row>
    <row r="632">
      <c r="A632" s="45"/>
      <c r="B632" s="45"/>
      <c r="C632" s="45"/>
      <c r="D632" s="45"/>
      <c r="E632" s="258"/>
      <c r="F632" s="45"/>
      <c r="G632" s="474"/>
      <c r="H632" s="475"/>
      <c r="I632" s="373"/>
      <c r="J632" s="45"/>
      <c r="K632" s="45"/>
    </row>
    <row r="633">
      <c r="A633" s="45"/>
      <c r="B633" s="45"/>
      <c r="C633" s="45"/>
      <c r="D633" s="45"/>
      <c r="E633" s="258"/>
      <c r="F633" s="45"/>
      <c r="G633" s="474"/>
      <c r="H633" s="475"/>
      <c r="I633" s="373"/>
      <c r="J633" s="45"/>
      <c r="K633" s="45"/>
    </row>
    <row r="634">
      <c r="A634" s="45"/>
      <c r="B634" s="45"/>
      <c r="C634" s="45"/>
      <c r="D634" s="45"/>
      <c r="E634" s="258"/>
      <c r="F634" s="45"/>
      <c r="G634" s="474"/>
      <c r="H634" s="475"/>
      <c r="I634" s="373"/>
      <c r="J634" s="45"/>
      <c r="K634" s="45"/>
    </row>
    <row r="635">
      <c r="A635" s="45"/>
      <c r="B635" s="45"/>
      <c r="C635" s="45"/>
      <c r="D635" s="45"/>
      <c r="E635" s="258"/>
      <c r="F635" s="45"/>
      <c r="G635" s="474"/>
      <c r="H635" s="475"/>
      <c r="I635" s="373"/>
      <c r="J635" s="45"/>
      <c r="K635" s="45"/>
    </row>
    <row r="636">
      <c r="A636" s="45"/>
      <c r="B636" s="45"/>
      <c r="C636" s="45"/>
      <c r="D636" s="45"/>
      <c r="E636" s="258"/>
      <c r="F636" s="45"/>
      <c r="G636" s="474"/>
      <c r="H636" s="475"/>
      <c r="I636" s="373"/>
      <c r="J636" s="45"/>
      <c r="K636" s="45"/>
    </row>
    <row r="637">
      <c r="A637" s="45"/>
      <c r="B637" s="45"/>
      <c r="C637" s="45"/>
      <c r="D637" s="45"/>
      <c r="E637" s="258"/>
      <c r="F637" s="45"/>
      <c r="G637" s="474"/>
      <c r="H637" s="475"/>
      <c r="I637" s="373"/>
      <c r="J637" s="45"/>
      <c r="K637" s="45"/>
    </row>
    <row r="638">
      <c r="A638" s="45"/>
      <c r="B638" s="45"/>
      <c r="C638" s="45"/>
      <c r="D638" s="45"/>
      <c r="E638" s="258"/>
      <c r="F638" s="45"/>
      <c r="G638" s="474"/>
      <c r="H638" s="475"/>
      <c r="I638" s="373"/>
      <c r="J638" s="45"/>
      <c r="K638" s="45"/>
    </row>
    <row r="639">
      <c r="A639" s="45"/>
      <c r="B639" s="45"/>
      <c r="C639" s="45"/>
      <c r="D639" s="45"/>
      <c r="E639" s="258"/>
      <c r="F639" s="45"/>
      <c r="G639" s="474"/>
      <c r="H639" s="475"/>
      <c r="I639" s="373"/>
      <c r="J639" s="45"/>
      <c r="K639" s="45"/>
    </row>
    <row r="640">
      <c r="A640" s="45"/>
      <c r="B640" s="45"/>
      <c r="C640" s="45"/>
      <c r="D640" s="45"/>
      <c r="E640" s="258"/>
      <c r="F640" s="45"/>
      <c r="G640" s="474"/>
      <c r="H640" s="475"/>
      <c r="I640" s="373"/>
      <c r="J640" s="45"/>
      <c r="K640" s="45"/>
    </row>
    <row r="641">
      <c r="A641" s="45"/>
      <c r="B641" s="45"/>
      <c r="C641" s="45"/>
      <c r="D641" s="45"/>
      <c r="E641" s="258"/>
      <c r="F641" s="45"/>
      <c r="G641" s="474"/>
      <c r="H641" s="475"/>
      <c r="I641" s="373"/>
      <c r="J641" s="45"/>
      <c r="K641" s="45"/>
    </row>
    <row r="642">
      <c r="A642" s="45"/>
      <c r="B642" s="45"/>
      <c r="C642" s="45"/>
      <c r="D642" s="45"/>
      <c r="E642" s="258"/>
      <c r="F642" s="45"/>
      <c r="G642" s="474"/>
      <c r="H642" s="475"/>
      <c r="I642" s="373"/>
      <c r="J642" s="45"/>
      <c r="K642" s="45"/>
    </row>
    <row r="643">
      <c r="A643" s="45"/>
      <c r="B643" s="45"/>
      <c r="C643" s="45"/>
      <c r="D643" s="45"/>
      <c r="E643" s="258"/>
      <c r="F643" s="45"/>
      <c r="G643" s="474"/>
      <c r="H643" s="475"/>
      <c r="I643" s="373"/>
      <c r="J643" s="45"/>
      <c r="K643" s="45"/>
    </row>
    <row r="644">
      <c r="A644" s="45"/>
      <c r="B644" s="45"/>
      <c r="C644" s="45"/>
      <c r="D644" s="45"/>
      <c r="E644" s="258"/>
      <c r="F644" s="45"/>
      <c r="G644" s="474"/>
      <c r="H644" s="475"/>
      <c r="I644" s="373"/>
      <c r="J644" s="45"/>
      <c r="K644" s="45"/>
    </row>
    <row r="645">
      <c r="A645" s="45"/>
      <c r="B645" s="45"/>
      <c r="C645" s="45"/>
      <c r="D645" s="45"/>
      <c r="E645" s="258"/>
      <c r="F645" s="45"/>
      <c r="G645" s="474"/>
      <c r="H645" s="475"/>
      <c r="I645" s="373"/>
      <c r="J645" s="45"/>
      <c r="K645" s="45"/>
    </row>
    <row r="646">
      <c r="A646" s="45"/>
      <c r="B646" s="45"/>
      <c r="C646" s="45"/>
      <c r="D646" s="45"/>
      <c r="E646" s="258"/>
      <c r="F646" s="45"/>
      <c r="G646" s="474"/>
      <c r="H646" s="475"/>
      <c r="I646" s="373"/>
      <c r="J646" s="45"/>
      <c r="K646" s="45"/>
    </row>
    <row r="647">
      <c r="A647" s="45"/>
      <c r="B647" s="45"/>
      <c r="C647" s="45"/>
      <c r="D647" s="45"/>
      <c r="E647" s="258"/>
      <c r="F647" s="45"/>
      <c r="G647" s="474"/>
      <c r="H647" s="475"/>
      <c r="I647" s="373"/>
      <c r="J647" s="45"/>
      <c r="K647" s="45"/>
    </row>
    <row r="648">
      <c r="A648" s="45"/>
      <c r="B648" s="45"/>
      <c r="C648" s="45"/>
      <c r="D648" s="45"/>
      <c r="E648" s="258"/>
      <c r="F648" s="45"/>
      <c r="G648" s="474"/>
      <c r="H648" s="475"/>
      <c r="I648" s="373"/>
      <c r="J648" s="45"/>
      <c r="K648" s="45"/>
    </row>
    <row r="649">
      <c r="A649" s="45"/>
      <c r="B649" s="45"/>
      <c r="C649" s="45"/>
      <c r="D649" s="45"/>
      <c r="E649" s="258"/>
      <c r="F649" s="45"/>
      <c r="G649" s="474"/>
      <c r="H649" s="475"/>
      <c r="I649" s="373"/>
      <c r="J649" s="45"/>
      <c r="K649" s="45"/>
    </row>
    <row r="650">
      <c r="A650" s="45"/>
      <c r="B650" s="45"/>
      <c r="C650" s="45"/>
      <c r="D650" s="45"/>
      <c r="E650" s="258"/>
      <c r="F650" s="45"/>
      <c r="G650" s="474"/>
      <c r="H650" s="475"/>
      <c r="I650" s="373"/>
      <c r="J650" s="45"/>
      <c r="K650" s="45"/>
    </row>
    <row r="651">
      <c r="A651" s="45"/>
      <c r="B651" s="45"/>
      <c r="C651" s="45"/>
      <c r="D651" s="45"/>
      <c r="E651" s="258"/>
      <c r="F651" s="45"/>
      <c r="G651" s="474"/>
      <c r="H651" s="475"/>
      <c r="I651" s="373"/>
      <c r="J651" s="45"/>
      <c r="K651" s="45"/>
    </row>
    <row r="652">
      <c r="A652" s="45"/>
      <c r="B652" s="45"/>
      <c r="C652" s="45"/>
      <c r="D652" s="45"/>
      <c r="E652" s="258"/>
      <c r="F652" s="45"/>
      <c r="G652" s="474"/>
      <c r="H652" s="475"/>
      <c r="I652" s="373"/>
      <c r="J652" s="45"/>
      <c r="K652" s="45"/>
    </row>
    <row r="653">
      <c r="A653" s="45"/>
      <c r="B653" s="45"/>
      <c r="C653" s="45"/>
      <c r="D653" s="45"/>
      <c r="E653" s="258"/>
      <c r="F653" s="45"/>
      <c r="G653" s="474"/>
      <c r="H653" s="475"/>
      <c r="I653" s="373"/>
      <c r="J653" s="45"/>
      <c r="K653" s="45"/>
    </row>
    <row r="654">
      <c r="A654" s="45"/>
      <c r="B654" s="45"/>
      <c r="C654" s="45"/>
      <c r="D654" s="45"/>
      <c r="E654" s="258"/>
      <c r="F654" s="45"/>
      <c r="G654" s="474"/>
      <c r="H654" s="475"/>
      <c r="I654" s="373"/>
      <c r="J654" s="45"/>
      <c r="K654" s="45"/>
    </row>
    <row r="655">
      <c r="A655" s="45"/>
      <c r="B655" s="45"/>
      <c r="C655" s="45"/>
      <c r="D655" s="45"/>
      <c r="E655" s="258"/>
      <c r="F655" s="45"/>
      <c r="G655" s="474"/>
      <c r="H655" s="475"/>
      <c r="I655" s="373"/>
      <c r="J655" s="45"/>
      <c r="K655" s="45"/>
    </row>
    <row r="656">
      <c r="A656" s="45"/>
      <c r="B656" s="45"/>
      <c r="C656" s="45"/>
      <c r="D656" s="45"/>
      <c r="E656" s="258"/>
      <c r="F656" s="45"/>
      <c r="G656" s="474"/>
      <c r="H656" s="475"/>
      <c r="I656" s="373"/>
      <c r="J656" s="45"/>
      <c r="K656" s="45"/>
    </row>
    <row r="657">
      <c r="A657" s="45"/>
      <c r="B657" s="45"/>
      <c r="C657" s="45"/>
      <c r="D657" s="45"/>
      <c r="E657" s="258"/>
      <c r="F657" s="45"/>
      <c r="G657" s="474"/>
      <c r="H657" s="475"/>
      <c r="I657" s="373"/>
      <c r="J657" s="45"/>
      <c r="K657" s="45"/>
    </row>
    <row r="658">
      <c r="A658" s="45"/>
      <c r="B658" s="45"/>
      <c r="C658" s="45"/>
      <c r="D658" s="45"/>
      <c r="E658" s="258"/>
      <c r="F658" s="45"/>
      <c r="G658" s="474"/>
      <c r="H658" s="475"/>
      <c r="I658" s="373"/>
      <c r="J658" s="45"/>
      <c r="K658" s="45"/>
    </row>
    <row r="659">
      <c r="A659" s="45"/>
      <c r="B659" s="45"/>
      <c r="C659" s="45"/>
      <c r="D659" s="45"/>
      <c r="E659" s="258"/>
      <c r="F659" s="45"/>
      <c r="G659" s="474"/>
      <c r="H659" s="475"/>
      <c r="I659" s="373"/>
      <c r="J659" s="45"/>
      <c r="K659" s="45"/>
    </row>
    <row r="660">
      <c r="A660" s="45"/>
      <c r="B660" s="45"/>
      <c r="C660" s="45"/>
      <c r="D660" s="45"/>
      <c r="E660" s="258"/>
      <c r="F660" s="45"/>
      <c r="G660" s="474"/>
      <c r="H660" s="475"/>
      <c r="I660" s="373"/>
      <c r="J660" s="45"/>
      <c r="K660" s="45"/>
    </row>
    <row r="661">
      <c r="A661" s="45"/>
      <c r="B661" s="45"/>
      <c r="C661" s="45"/>
      <c r="D661" s="45"/>
      <c r="E661" s="258"/>
      <c r="F661" s="45"/>
      <c r="G661" s="474"/>
      <c r="H661" s="475"/>
      <c r="I661" s="373"/>
      <c r="J661" s="45"/>
      <c r="K661" s="45"/>
    </row>
    <row r="662">
      <c r="A662" s="45"/>
      <c r="B662" s="45"/>
      <c r="C662" s="45"/>
      <c r="D662" s="45"/>
      <c r="E662" s="258"/>
      <c r="F662" s="45"/>
      <c r="G662" s="474"/>
      <c r="H662" s="475"/>
      <c r="I662" s="373"/>
      <c r="J662" s="45"/>
      <c r="K662" s="45"/>
    </row>
    <row r="663">
      <c r="A663" s="45"/>
      <c r="B663" s="45"/>
      <c r="C663" s="45"/>
      <c r="D663" s="45"/>
      <c r="E663" s="258"/>
      <c r="F663" s="45"/>
      <c r="G663" s="474"/>
      <c r="H663" s="475"/>
      <c r="I663" s="373"/>
      <c r="J663" s="45"/>
      <c r="K663" s="45"/>
    </row>
    <row r="664">
      <c r="A664" s="45"/>
      <c r="B664" s="45"/>
      <c r="C664" s="45"/>
      <c r="D664" s="45"/>
      <c r="E664" s="258"/>
      <c r="F664" s="45"/>
      <c r="G664" s="474"/>
      <c r="H664" s="475"/>
      <c r="I664" s="373"/>
      <c r="J664" s="45"/>
      <c r="K664" s="45"/>
    </row>
    <row r="665">
      <c r="A665" s="45"/>
      <c r="B665" s="45"/>
      <c r="C665" s="45"/>
      <c r="D665" s="45"/>
      <c r="E665" s="258"/>
      <c r="F665" s="45"/>
      <c r="G665" s="474"/>
      <c r="H665" s="475"/>
      <c r="I665" s="373"/>
      <c r="J665" s="45"/>
      <c r="K665" s="45"/>
    </row>
    <row r="666">
      <c r="A666" s="45"/>
      <c r="B666" s="45"/>
      <c r="C666" s="45"/>
      <c r="D666" s="45"/>
      <c r="E666" s="258"/>
      <c r="F666" s="45"/>
      <c r="G666" s="474"/>
      <c r="H666" s="475"/>
      <c r="I666" s="373"/>
      <c r="J666" s="45"/>
      <c r="K666" s="45"/>
    </row>
    <row r="667">
      <c r="A667" s="45"/>
      <c r="B667" s="45"/>
      <c r="C667" s="45"/>
      <c r="D667" s="45"/>
      <c r="E667" s="258"/>
      <c r="F667" s="45"/>
      <c r="G667" s="474"/>
      <c r="H667" s="475"/>
      <c r="I667" s="373"/>
      <c r="J667" s="45"/>
      <c r="K667" s="45"/>
    </row>
    <row r="668">
      <c r="A668" s="45"/>
      <c r="B668" s="45"/>
      <c r="C668" s="45"/>
      <c r="D668" s="45"/>
      <c r="E668" s="258"/>
      <c r="F668" s="45"/>
      <c r="G668" s="474"/>
      <c r="H668" s="475"/>
      <c r="I668" s="373"/>
      <c r="J668" s="45"/>
      <c r="K668" s="45"/>
    </row>
    <row r="669">
      <c r="A669" s="45"/>
      <c r="B669" s="45"/>
      <c r="C669" s="45"/>
      <c r="D669" s="45"/>
      <c r="E669" s="258"/>
      <c r="F669" s="45"/>
      <c r="G669" s="474"/>
      <c r="H669" s="475"/>
      <c r="I669" s="373"/>
      <c r="J669" s="45"/>
      <c r="K669" s="45"/>
    </row>
    <row r="670">
      <c r="A670" s="45"/>
      <c r="B670" s="45"/>
      <c r="C670" s="45"/>
      <c r="D670" s="45"/>
      <c r="E670" s="258"/>
      <c r="F670" s="45"/>
      <c r="G670" s="474"/>
      <c r="H670" s="475"/>
      <c r="I670" s="373"/>
      <c r="J670" s="45"/>
      <c r="K670" s="45"/>
    </row>
    <row r="671">
      <c r="A671" s="45"/>
      <c r="B671" s="45"/>
      <c r="C671" s="45"/>
      <c r="D671" s="45"/>
      <c r="E671" s="258"/>
      <c r="F671" s="45"/>
      <c r="G671" s="474"/>
      <c r="H671" s="475"/>
      <c r="I671" s="373"/>
      <c r="J671" s="45"/>
      <c r="K671" s="45"/>
    </row>
    <row r="672">
      <c r="A672" s="45"/>
      <c r="B672" s="45"/>
      <c r="C672" s="45"/>
      <c r="D672" s="45"/>
      <c r="E672" s="258"/>
      <c r="F672" s="45"/>
      <c r="G672" s="474"/>
      <c r="H672" s="475"/>
      <c r="I672" s="373"/>
      <c r="J672" s="45"/>
      <c r="K672" s="45"/>
    </row>
    <row r="673">
      <c r="A673" s="45"/>
      <c r="B673" s="45"/>
      <c r="C673" s="45"/>
      <c r="D673" s="45"/>
      <c r="E673" s="258"/>
      <c r="F673" s="45"/>
      <c r="G673" s="474"/>
      <c r="H673" s="475"/>
      <c r="I673" s="373"/>
      <c r="J673" s="45"/>
      <c r="K673" s="45"/>
    </row>
    <row r="674">
      <c r="A674" s="45"/>
      <c r="B674" s="45"/>
      <c r="C674" s="45"/>
      <c r="D674" s="45"/>
      <c r="E674" s="258"/>
      <c r="F674" s="45"/>
      <c r="G674" s="474"/>
      <c r="H674" s="475"/>
      <c r="I674" s="373"/>
      <c r="J674" s="45"/>
      <c r="K674" s="45"/>
    </row>
    <row r="675">
      <c r="A675" s="45"/>
      <c r="B675" s="45"/>
      <c r="C675" s="45"/>
      <c r="D675" s="45"/>
      <c r="E675" s="258"/>
      <c r="F675" s="45"/>
      <c r="G675" s="474"/>
      <c r="H675" s="475"/>
      <c r="I675" s="373"/>
      <c r="J675" s="45"/>
      <c r="K675" s="45"/>
    </row>
    <row r="676">
      <c r="A676" s="45"/>
      <c r="B676" s="45"/>
      <c r="C676" s="45"/>
      <c r="D676" s="45"/>
      <c r="E676" s="258"/>
      <c r="F676" s="45"/>
      <c r="G676" s="474"/>
      <c r="H676" s="475"/>
      <c r="I676" s="373"/>
      <c r="J676" s="45"/>
      <c r="K676" s="45"/>
    </row>
    <row r="677">
      <c r="A677" s="45"/>
      <c r="B677" s="45"/>
      <c r="C677" s="45"/>
      <c r="D677" s="45"/>
      <c r="E677" s="258"/>
      <c r="F677" s="45"/>
      <c r="G677" s="474"/>
      <c r="H677" s="475"/>
      <c r="I677" s="373"/>
      <c r="J677" s="45"/>
      <c r="K677" s="45"/>
    </row>
    <row r="678">
      <c r="A678" s="45"/>
      <c r="B678" s="45"/>
      <c r="C678" s="45"/>
      <c r="D678" s="45"/>
      <c r="E678" s="258"/>
      <c r="F678" s="45"/>
      <c r="G678" s="474"/>
      <c r="H678" s="475"/>
      <c r="I678" s="373"/>
      <c r="J678" s="45"/>
      <c r="K678" s="45"/>
    </row>
    <row r="679">
      <c r="A679" s="45"/>
      <c r="B679" s="45"/>
      <c r="C679" s="45"/>
      <c r="D679" s="45"/>
      <c r="E679" s="258"/>
      <c r="F679" s="45"/>
      <c r="G679" s="474"/>
      <c r="H679" s="475"/>
      <c r="I679" s="373"/>
      <c r="J679" s="45"/>
      <c r="K679" s="45"/>
    </row>
    <row r="680">
      <c r="A680" s="45"/>
      <c r="B680" s="45"/>
      <c r="C680" s="45"/>
      <c r="D680" s="45"/>
      <c r="E680" s="258"/>
      <c r="F680" s="45"/>
      <c r="G680" s="474"/>
      <c r="H680" s="475"/>
      <c r="I680" s="373"/>
      <c r="J680" s="45"/>
      <c r="K680" s="45"/>
    </row>
    <row r="681">
      <c r="A681" s="45"/>
      <c r="B681" s="45"/>
      <c r="C681" s="45"/>
      <c r="D681" s="45"/>
      <c r="E681" s="258"/>
      <c r="F681" s="45"/>
      <c r="G681" s="474"/>
      <c r="H681" s="475"/>
      <c r="I681" s="373"/>
      <c r="J681" s="45"/>
      <c r="K681" s="45"/>
    </row>
    <row r="682">
      <c r="A682" s="45"/>
      <c r="B682" s="45"/>
      <c r="C682" s="45"/>
      <c r="D682" s="45"/>
      <c r="E682" s="258"/>
      <c r="F682" s="45"/>
      <c r="G682" s="474"/>
      <c r="H682" s="475"/>
      <c r="I682" s="373"/>
      <c r="J682" s="45"/>
      <c r="K682" s="45"/>
    </row>
    <row r="683">
      <c r="A683" s="45"/>
      <c r="B683" s="45"/>
      <c r="C683" s="45"/>
      <c r="D683" s="45"/>
      <c r="E683" s="258"/>
      <c r="F683" s="45"/>
      <c r="G683" s="474"/>
      <c r="H683" s="475"/>
      <c r="I683" s="373"/>
      <c r="J683" s="45"/>
      <c r="K683" s="45"/>
    </row>
    <row r="684">
      <c r="A684" s="45"/>
      <c r="B684" s="45"/>
      <c r="C684" s="45"/>
      <c r="D684" s="45"/>
      <c r="E684" s="258"/>
      <c r="F684" s="45"/>
      <c r="G684" s="474"/>
      <c r="H684" s="475"/>
      <c r="I684" s="373"/>
      <c r="J684" s="45"/>
      <c r="K684" s="45"/>
    </row>
    <row r="685">
      <c r="A685" s="45"/>
      <c r="B685" s="45"/>
      <c r="C685" s="45"/>
      <c r="D685" s="45"/>
      <c r="E685" s="258"/>
      <c r="F685" s="45"/>
      <c r="G685" s="474"/>
      <c r="H685" s="475"/>
      <c r="I685" s="373"/>
      <c r="J685" s="45"/>
      <c r="K685" s="45"/>
    </row>
    <row r="686">
      <c r="A686" s="45"/>
      <c r="B686" s="45"/>
      <c r="C686" s="45"/>
      <c r="D686" s="45"/>
      <c r="E686" s="258"/>
      <c r="F686" s="45"/>
      <c r="G686" s="474"/>
      <c r="H686" s="475"/>
      <c r="I686" s="373"/>
      <c r="J686" s="45"/>
      <c r="K686" s="45"/>
    </row>
    <row r="687">
      <c r="A687" s="45"/>
      <c r="B687" s="45"/>
      <c r="C687" s="45"/>
      <c r="D687" s="45"/>
      <c r="E687" s="258"/>
      <c r="F687" s="45"/>
      <c r="G687" s="474"/>
      <c r="H687" s="475"/>
      <c r="I687" s="373"/>
      <c r="J687" s="45"/>
      <c r="K687" s="45"/>
    </row>
    <row r="688">
      <c r="A688" s="45"/>
      <c r="B688" s="45"/>
      <c r="C688" s="45"/>
      <c r="D688" s="45"/>
      <c r="E688" s="258"/>
      <c r="F688" s="45"/>
      <c r="G688" s="474"/>
      <c r="H688" s="475"/>
      <c r="I688" s="373"/>
      <c r="J688" s="45"/>
      <c r="K688" s="45"/>
    </row>
    <row r="689">
      <c r="A689" s="45"/>
      <c r="B689" s="45"/>
      <c r="C689" s="45"/>
      <c r="D689" s="45"/>
      <c r="E689" s="258"/>
      <c r="F689" s="45"/>
      <c r="G689" s="474"/>
      <c r="H689" s="475"/>
      <c r="I689" s="373"/>
      <c r="J689" s="45"/>
      <c r="K689" s="45"/>
    </row>
    <row r="690">
      <c r="A690" s="45"/>
      <c r="B690" s="45"/>
      <c r="C690" s="45"/>
      <c r="D690" s="45"/>
      <c r="E690" s="258"/>
      <c r="F690" s="45"/>
      <c r="G690" s="474"/>
      <c r="H690" s="475"/>
      <c r="I690" s="373"/>
      <c r="J690" s="45"/>
      <c r="K690" s="45"/>
    </row>
    <row r="691">
      <c r="A691" s="45"/>
      <c r="B691" s="45"/>
      <c r="C691" s="45"/>
      <c r="D691" s="45"/>
      <c r="E691" s="258"/>
      <c r="F691" s="45"/>
      <c r="G691" s="474"/>
      <c r="H691" s="475"/>
      <c r="I691" s="373"/>
      <c r="J691" s="45"/>
      <c r="K691" s="45"/>
    </row>
    <row r="692">
      <c r="A692" s="45"/>
      <c r="B692" s="45"/>
      <c r="C692" s="45"/>
      <c r="D692" s="45"/>
      <c r="E692" s="258"/>
      <c r="F692" s="45"/>
      <c r="G692" s="474"/>
      <c r="H692" s="475"/>
      <c r="I692" s="373"/>
      <c r="J692" s="45"/>
      <c r="K692" s="45"/>
    </row>
    <row r="693">
      <c r="A693" s="45"/>
      <c r="B693" s="45"/>
      <c r="C693" s="45"/>
      <c r="D693" s="45"/>
      <c r="E693" s="258"/>
      <c r="F693" s="45"/>
      <c r="G693" s="474"/>
      <c r="H693" s="475"/>
      <c r="I693" s="373"/>
      <c r="J693" s="45"/>
      <c r="K693" s="45"/>
    </row>
    <row r="694">
      <c r="A694" s="45"/>
      <c r="B694" s="45"/>
      <c r="C694" s="45"/>
      <c r="D694" s="45"/>
      <c r="E694" s="258"/>
      <c r="F694" s="45"/>
      <c r="G694" s="474"/>
      <c r="H694" s="475"/>
      <c r="I694" s="373"/>
      <c r="J694" s="45"/>
      <c r="K694" s="45"/>
    </row>
    <row r="695">
      <c r="A695" s="45"/>
      <c r="B695" s="45"/>
      <c r="C695" s="45"/>
      <c r="D695" s="45"/>
      <c r="E695" s="258"/>
      <c r="F695" s="45"/>
      <c r="G695" s="474"/>
      <c r="H695" s="475"/>
      <c r="I695" s="373"/>
      <c r="J695" s="45"/>
      <c r="K695" s="45"/>
    </row>
    <row r="696">
      <c r="A696" s="45"/>
      <c r="B696" s="45"/>
      <c r="C696" s="45"/>
      <c r="D696" s="45"/>
      <c r="E696" s="258"/>
      <c r="F696" s="45"/>
      <c r="G696" s="474"/>
      <c r="H696" s="475"/>
      <c r="I696" s="373"/>
      <c r="J696" s="45"/>
      <c r="K696" s="45"/>
    </row>
    <row r="697">
      <c r="A697" s="45"/>
      <c r="B697" s="45"/>
      <c r="C697" s="45"/>
      <c r="D697" s="45"/>
      <c r="E697" s="258"/>
      <c r="F697" s="45"/>
      <c r="G697" s="474"/>
      <c r="H697" s="475"/>
      <c r="I697" s="373"/>
      <c r="J697" s="45"/>
      <c r="K697" s="45"/>
    </row>
    <row r="698">
      <c r="A698" s="45"/>
      <c r="B698" s="45"/>
      <c r="C698" s="45"/>
      <c r="D698" s="45"/>
      <c r="E698" s="258"/>
      <c r="F698" s="45"/>
      <c r="G698" s="474"/>
      <c r="H698" s="475"/>
      <c r="I698" s="373"/>
      <c r="J698" s="45"/>
      <c r="K698" s="45"/>
    </row>
    <row r="699">
      <c r="A699" s="45"/>
      <c r="B699" s="45"/>
      <c r="C699" s="45"/>
      <c r="D699" s="45"/>
      <c r="E699" s="258"/>
      <c r="F699" s="45"/>
      <c r="G699" s="474"/>
      <c r="H699" s="475"/>
      <c r="I699" s="373"/>
      <c r="J699" s="45"/>
      <c r="K699" s="45"/>
    </row>
    <row r="700">
      <c r="A700" s="45"/>
      <c r="B700" s="45"/>
      <c r="C700" s="45"/>
      <c r="D700" s="45"/>
      <c r="E700" s="258"/>
      <c r="F700" s="45"/>
      <c r="G700" s="474"/>
      <c r="H700" s="475"/>
      <c r="I700" s="373"/>
      <c r="J700" s="45"/>
      <c r="K700" s="45"/>
    </row>
    <row r="701">
      <c r="A701" s="45"/>
      <c r="B701" s="45"/>
      <c r="C701" s="45"/>
      <c r="D701" s="45"/>
      <c r="E701" s="258"/>
      <c r="F701" s="45"/>
      <c r="G701" s="474"/>
      <c r="H701" s="475"/>
      <c r="I701" s="373"/>
      <c r="J701" s="45"/>
      <c r="K701" s="45"/>
    </row>
    <row r="702">
      <c r="A702" s="45"/>
      <c r="B702" s="45"/>
      <c r="C702" s="45"/>
      <c r="D702" s="45"/>
      <c r="E702" s="258"/>
      <c r="F702" s="45"/>
      <c r="G702" s="474"/>
      <c r="H702" s="475"/>
      <c r="I702" s="373"/>
      <c r="J702" s="45"/>
      <c r="K702" s="45"/>
    </row>
    <row r="703">
      <c r="A703" s="45"/>
      <c r="B703" s="45"/>
      <c r="C703" s="45"/>
      <c r="D703" s="45"/>
      <c r="E703" s="258"/>
      <c r="F703" s="45"/>
      <c r="G703" s="474"/>
      <c r="H703" s="475"/>
      <c r="I703" s="373"/>
      <c r="J703" s="45"/>
      <c r="K703" s="45"/>
    </row>
    <row r="704">
      <c r="A704" s="45"/>
      <c r="B704" s="45"/>
      <c r="C704" s="45"/>
      <c r="D704" s="45"/>
      <c r="E704" s="258"/>
      <c r="F704" s="45"/>
      <c r="G704" s="474"/>
      <c r="H704" s="475"/>
      <c r="I704" s="373"/>
      <c r="J704" s="45"/>
      <c r="K704" s="45"/>
    </row>
    <row r="705">
      <c r="A705" s="45"/>
      <c r="B705" s="45"/>
      <c r="C705" s="45"/>
      <c r="D705" s="45"/>
      <c r="E705" s="258"/>
      <c r="F705" s="45"/>
      <c r="G705" s="474"/>
      <c r="H705" s="475"/>
      <c r="I705" s="373"/>
      <c r="J705" s="45"/>
      <c r="K705" s="45"/>
    </row>
    <row r="706">
      <c r="A706" s="45"/>
      <c r="B706" s="45"/>
      <c r="C706" s="45"/>
      <c r="D706" s="45"/>
      <c r="E706" s="258"/>
      <c r="F706" s="45"/>
      <c r="G706" s="474"/>
      <c r="H706" s="475"/>
      <c r="I706" s="373"/>
      <c r="J706" s="45"/>
      <c r="K706" s="45"/>
    </row>
    <row r="707">
      <c r="A707" s="45"/>
      <c r="B707" s="45"/>
      <c r="C707" s="45"/>
      <c r="D707" s="45"/>
      <c r="E707" s="258"/>
      <c r="F707" s="45"/>
      <c r="G707" s="474"/>
      <c r="H707" s="475"/>
      <c r="I707" s="373"/>
      <c r="J707" s="45"/>
      <c r="K707" s="45"/>
    </row>
    <row r="708">
      <c r="A708" s="45"/>
      <c r="B708" s="45"/>
      <c r="C708" s="45"/>
      <c r="D708" s="45"/>
      <c r="E708" s="258"/>
      <c r="F708" s="45"/>
      <c r="G708" s="474"/>
      <c r="H708" s="475"/>
      <c r="I708" s="373"/>
      <c r="J708" s="45"/>
      <c r="K708" s="45"/>
    </row>
    <row r="709">
      <c r="A709" s="45"/>
      <c r="B709" s="45"/>
      <c r="C709" s="45"/>
      <c r="D709" s="45"/>
      <c r="E709" s="258"/>
      <c r="F709" s="45"/>
      <c r="G709" s="474"/>
      <c r="H709" s="475"/>
      <c r="I709" s="373"/>
      <c r="J709" s="45"/>
      <c r="K709" s="45"/>
    </row>
    <row r="710">
      <c r="A710" s="45"/>
      <c r="B710" s="45"/>
      <c r="C710" s="45"/>
      <c r="D710" s="45"/>
      <c r="E710" s="258"/>
      <c r="F710" s="45"/>
      <c r="G710" s="474"/>
      <c r="H710" s="475"/>
      <c r="I710" s="373"/>
      <c r="J710" s="45"/>
      <c r="K710" s="45"/>
    </row>
    <row r="711">
      <c r="A711" s="45"/>
      <c r="B711" s="45"/>
      <c r="C711" s="45"/>
      <c r="D711" s="45"/>
      <c r="E711" s="258"/>
      <c r="F711" s="45"/>
      <c r="G711" s="474"/>
      <c r="H711" s="475"/>
      <c r="I711" s="373"/>
      <c r="J711" s="45"/>
      <c r="K711" s="45"/>
    </row>
    <row r="712">
      <c r="A712" s="45"/>
      <c r="B712" s="45"/>
      <c r="C712" s="45"/>
      <c r="D712" s="45"/>
      <c r="E712" s="258"/>
      <c r="F712" s="45"/>
      <c r="G712" s="474"/>
      <c r="H712" s="475"/>
      <c r="I712" s="373"/>
      <c r="J712" s="45"/>
      <c r="K712" s="45"/>
    </row>
    <row r="713">
      <c r="A713" s="45"/>
      <c r="B713" s="45"/>
      <c r="C713" s="45"/>
      <c r="D713" s="45"/>
      <c r="E713" s="258"/>
      <c r="F713" s="45"/>
      <c r="G713" s="474"/>
      <c r="H713" s="475"/>
      <c r="I713" s="373"/>
      <c r="J713" s="45"/>
      <c r="K713" s="45"/>
    </row>
    <row r="714">
      <c r="A714" s="45"/>
      <c r="B714" s="45"/>
      <c r="C714" s="45"/>
      <c r="D714" s="45"/>
      <c r="E714" s="258"/>
      <c r="F714" s="45"/>
      <c r="G714" s="474"/>
      <c r="H714" s="475"/>
      <c r="I714" s="373"/>
      <c r="J714" s="45"/>
      <c r="K714" s="45"/>
    </row>
    <row r="715">
      <c r="A715" s="45"/>
      <c r="B715" s="45"/>
      <c r="C715" s="45"/>
      <c r="D715" s="45"/>
      <c r="E715" s="258"/>
      <c r="F715" s="45"/>
      <c r="G715" s="474"/>
      <c r="H715" s="475"/>
      <c r="I715" s="373"/>
      <c r="J715" s="45"/>
      <c r="K715" s="45"/>
    </row>
    <row r="716">
      <c r="A716" s="45"/>
      <c r="B716" s="45"/>
      <c r="C716" s="45"/>
      <c r="D716" s="45"/>
      <c r="E716" s="258"/>
      <c r="F716" s="45"/>
      <c r="G716" s="474"/>
      <c r="H716" s="475"/>
      <c r="I716" s="373"/>
      <c r="J716" s="45"/>
      <c r="K716" s="45"/>
    </row>
    <row r="717">
      <c r="A717" s="45"/>
      <c r="B717" s="45"/>
      <c r="C717" s="45"/>
      <c r="D717" s="45"/>
      <c r="E717" s="258"/>
      <c r="F717" s="45"/>
      <c r="G717" s="474"/>
      <c r="H717" s="475"/>
      <c r="I717" s="373"/>
      <c r="J717" s="45"/>
      <c r="K717" s="45"/>
    </row>
    <row r="718">
      <c r="A718" s="45"/>
      <c r="B718" s="45"/>
      <c r="C718" s="45"/>
      <c r="D718" s="45"/>
      <c r="E718" s="258"/>
      <c r="F718" s="45"/>
      <c r="G718" s="474"/>
      <c r="H718" s="475"/>
      <c r="I718" s="373"/>
      <c r="J718" s="45"/>
      <c r="K718" s="45"/>
    </row>
    <row r="719">
      <c r="A719" s="45"/>
      <c r="B719" s="45"/>
      <c r="C719" s="45"/>
      <c r="D719" s="45"/>
      <c r="E719" s="258"/>
      <c r="F719" s="45"/>
      <c r="G719" s="474"/>
      <c r="H719" s="475"/>
      <c r="I719" s="373"/>
      <c r="J719" s="45"/>
      <c r="K719" s="45"/>
    </row>
    <row r="720">
      <c r="A720" s="45"/>
      <c r="B720" s="45"/>
      <c r="C720" s="45"/>
      <c r="D720" s="45"/>
      <c r="E720" s="258"/>
      <c r="F720" s="45"/>
      <c r="G720" s="474"/>
      <c r="H720" s="475"/>
      <c r="I720" s="373"/>
      <c r="J720" s="45"/>
      <c r="K720" s="45"/>
    </row>
    <row r="721">
      <c r="A721" s="45"/>
      <c r="B721" s="45"/>
      <c r="C721" s="45"/>
      <c r="D721" s="45"/>
      <c r="E721" s="258"/>
      <c r="F721" s="45"/>
      <c r="G721" s="474"/>
      <c r="H721" s="475"/>
      <c r="I721" s="373"/>
      <c r="J721" s="45"/>
      <c r="K721" s="45"/>
    </row>
    <row r="722">
      <c r="A722" s="45"/>
      <c r="B722" s="45"/>
      <c r="C722" s="45"/>
      <c r="D722" s="45"/>
      <c r="E722" s="258"/>
      <c r="F722" s="45"/>
      <c r="G722" s="474"/>
      <c r="H722" s="475"/>
      <c r="I722" s="373"/>
      <c r="J722" s="45"/>
      <c r="K722" s="45"/>
    </row>
    <row r="723">
      <c r="A723" s="45"/>
      <c r="B723" s="45"/>
      <c r="C723" s="45"/>
      <c r="D723" s="45"/>
      <c r="E723" s="258"/>
      <c r="F723" s="45"/>
      <c r="G723" s="474"/>
      <c r="H723" s="475"/>
      <c r="I723" s="373"/>
      <c r="J723" s="45"/>
      <c r="K723" s="45"/>
    </row>
    <row r="724">
      <c r="A724" s="45"/>
      <c r="B724" s="45"/>
      <c r="C724" s="45"/>
      <c r="D724" s="45"/>
      <c r="E724" s="258"/>
      <c r="F724" s="45"/>
      <c r="G724" s="474"/>
      <c r="H724" s="475"/>
      <c r="I724" s="373"/>
      <c r="J724" s="45"/>
      <c r="K724" s="45"/>
    </row>
    <row r="725">
      <c r="A725" s="45"/>
      <c r="B725" s="45"/>
      <c r="C725" s="45"/>
      <c r="D725" s="45"/>
      <c r="E725" s="258"/>
      <c r="F725" s="45"/>
      <c r="G725" s="474"/>
      <c r="H725" s="475"/>
      <c r="I725" s="373"/>
      <c r="J725" s="45"/>
      <c r="K725" s="45"/>
    </row>
    <row r="726">
      <c r="A726" s="45"/>
      <c r="B726" s="45"/>
      <c r="C726" s="45"/>
      <c r="D726" s="45"/>
      <c r="E726" s="258"/>
      <c r="F726" s="45"/>
      <c r="G726" s="474"/>
      <c r="H726" s="475"/>
      <c r="I726" s="373"/>
      <c r="J726" s="45"/>
      <c r="K726" s="45"/>
    </row>
    <row r="727">
      <c r="A727" s="45"/>
      <c r="B727" s="45"/>
      <c r="C727" s="45"/>
      <c r="D727" s="45"/>
      <c r="E727" s="258"/>
      <c r="F727" s="45"/>
      <c r="G727" s="474"/>
      <c r="H727" s="475"/>
      <c r="I727" s="373"/>
      <c r="J727" s="45"/>
      <c r="K727" s="45"/>
    </row>
    <row r="728">
      <c r="A728" s="45"/>
      <c r="B728" s="45"/>
      <c r="C728" s="45"/>
      <c r="D728" s="45"/>
      <c r="E728" s="258"/>
      <c r="F728" s="45"/>
      <c r="G728" s="474"/>
      <c r="H728" s="475"/>
      <c r="I728" s="373"/>
      <c r="J728" s="45"/>
      <c r="K728" s="45"/>
    </row>
    <row r="729">
      <c r="A729" s="45"/>
      <c r="B729" s="45"/>
      <c r="C729" s="45"/>
      <c r="D729" s="45"/>
      <c r="E729" s="258"/>
      <c r="F729" s="45"/>
      <c r="G729" s="474"/>
      <c r="H729" s="475"/>
      <c r="I729" s="373"/>
      <c r="J729" s="45"/>
      <c r="K729" s="45"/>
    </row>
    <row r="730">
      <c r="A730" s="45"/>
      <c r="B730" s="45"/>
      <c r="C730" s="45"/>
      <c r="D730" s="45"/>
      <c r="E730" s="258"/>
      <c r="F730" s="45"/>
      <c r="G730" s="474"/>
      <c r="H730" s="475"/>
      <c r="I730" s="373"/>
      <c r="J730" s="45"/>
      <c r="K730" s="45"/>
    </row>
    <row r="731">
      <c r="A731" s="45"/>
      <c r="B731" s="45"/>
      <c r="C731" s="45"/>
      <c r="D731" s="45"/>
      <c r="E731" s="258"/>
      <c r="F731" s="45"/>
      <c r="G731" s="474"/>
      <c r="H731" s="475"/>
      <c r="I731" s="373"/>
      <c r="J731" s="45"/>
      <c r="K731" s="45"/>
    </row>
    <row r="732">
      <c r="A732" s="45"/>
      <c r="B732" s="45"/>
      <c r="C732" s="45"/>
      <c r="D732" s="45"/>
      <c r="E732" s="258"/>
      <c r="F732" s="45"/>
      <c r="G732" s="474"/>
      <c r="H732" s="475"/>
      <c r="I732" s="373"/>
      <c r="J732" s="45"/>
      <c r="K732" s="45"/>
    </row>
    <row r="733">
      <c r="A733" s="45"/>
      <c r="B733" s="45"/>
      <c r="C733" s="45"/>
      <c r="D733" s="45"/>
      <c r="E733" s="258"/>
      <c r="F733" s="45"/>
      <c r="G733" s="474"/>
      <c r="H733" s="475"/>
      <c r="I733" s="373"/>
      <c r="J733" s="45"/>
      <c r="K733" s="45"/>
    </row>
    <row r="734">
      <c r="A734" s="45"/>
      <c r="B734" s="45"/>
      <c r="C734" s="45"/>
      <c r="D734" s="45"/>
      <c r="E734" s="258"/>
      <c r="F734" s="45"/>
      <c r="G734" s="474"/>
      <c r="H734" s="475"/>
      <c r="I734" s="373"/>
      <c r="J734" s="45"/>
      <c r="K734" s="45"/>
    </row>
    <row r="735">
      <c r="A735" s="45"/>
      <c r="B735" s="45"/>
      <c r="C735" s="45"/>
      <c r="D735" s="45"/>
      <c r="E735" s="258"/>
      <c r="F735" s="45"/>
      <c r="G735" s="474"/>
      <c r="H735" s="475"/>
      <c r="I735" s="373"/>
      <c r="J735" s="45"/>
      <c r="K735" s="45"/>
    </row>
    <row r="736">
      <c r="A736" s="45"/>
      <c r="B736" s="45"/>
      <c r="C736" s="45"/>
      <c r="D736" s="45"/>
      <c r="E736" s="258"/>
      <c r="F736" s="45"/>
      <c r="G736" s="474"/>
      <c r="H736" s="475"/>
      <c r="I736" s="373"/>
      <c r="J736" s="45"/>
      <c r="K736" s="45"/>
    </row>
    <row r="737">
      <c r="A737" s="45"/>
      <c r="B737" s="45"/>
      <c r="C737" s="45"/>
      <c r="D737" s="45"/>
      <c r="E737" s="258"/>
      <c r="F737" s="45"/>
      <c r="G737" s="474"/>
      <c r="H737" s="475"/>
      <c r="I737" s="373"/>
      <c r="J737" s="45"/>
      <c r="K737" s="45"/>
    </row>
    <row r="738">
      <c r="A738" s="45"/>
      <c r="B738" s="45"/>
      <c r="C738" s="45"/>
      <c r="D738" s="45"/>
      <c r="E738" s="258"/>
      <c r="F738" s="45"/>
      <c r="G738" s="474"/>
      <c r="H738" s="475"/>
      <c r="I738" s="373"/>
      <c r="J738" s="45"/>
      <c r="K738" s="45"/>
    </row>
    <row r="739">
      <c r="A739" s="45"/>
      <c r="B739" s="45"/>
      <c r="C739" s="45"/>
      <c r="D739" s="45"/>
      <c r="E739" s="258"/>
      <c r="F739" s="45"/>
      <c r="G739" s="474"/>
      <c r="H739" s="475"/>
      <c r="I739" s="373"/>
      <c r="J739" s="45"/>
      <c r="K739" s="45"/>
    </row>
    <row r="740">
      <c r="A740" s="45"/>
      <c r="B740" s="45"/>
      <c r="C740" s="45"/>
      <c r="D740" s="45"/>
      <c r="E740" s="258"/>
      <c r="F740" s="45"/>
      <c r="G740" s="474"/>
      <c r="H740" s="475"/>
      <c r="I740" s="373"/>
      <c r="J740" s="45"/>
      <c r="K740" s="45"/>
    </row>
    <row r="741">
      <c r="A741" s="45"/>
      <c r="B741" s="45"/>
      <c r="C741" s="45"/>
      <c r="D741" s="45"/>
      <c r="E741" s="258"/>
      <c r="F741" s="45"/>
      <c r="G741" s="474"/>
      <c r="H741" s="475"/>
      <c r="I741" s="373"/>
      <c r="J741" s="45"/>
      <c r="K741" s="45"/>
    </row>
    <row r="742">
      <c r="A742" s="45"/>
      <c r="B742" s="45"/>
      <c r="C742" s="45"/>
      <c r="D742" s="45"/>
      <c r="E742" s="258"/>
      <c r="F742" s="45"/>
      <c r="G742" s="474"/>
      <c r="H742" s="475"/>
      <c r="I742" s="373"/>
      <c r="J742" s="45"/>
      <c r="K742" s="45"/>
    </row>
    <row r="743">
      <c r="A743" s="45"/>
      <c r="B743" s="45"/>
      <c r="C743" s="45"/>
      <c r="D743" s="45"/>
      <c r="E743" s="258"/>
      <c r="F743" s="45"/>
      <c r="G743" s="474"/>
      <c r="H743" s="475"/>
      <c r="I743" s="373"/>
      <c r="J743" s="45"/>
      <c r="K743" s="45"/>
    </row>
    <row r="744">
      <c r="A744" s="45"/>
      <c r="B744" s="45"/>
      <c r="C744" s="45"/>
      <c r="D744" s="45"/>
      <c r="E744" s="258"/>
      <c r="F744" s="45"/>
      <c r="G744" s="474"/>
      <c r="H744" s="475"/>
      <c r="I744" s="373"/>
      <c r="J744" s="45"/>
      <c r="K744" s="45"/>
    </row>
    <row r="745">
      <c r="A745" s="45"/>
      <c r="B745" s="45"/>
      <c r="C745" s="45"/>
      <c r="D745" s="45"/>
      <c r="E745" s="258"/>
      <c r="F745" s="45"/>
      <c r="G745" s="474"/>
      <c r="H745" s="475"/>
      <c r="I745" s="373"/>
      <c r="J745" s="45"/>
      <c r="K745" s="45"/>
    </row>
    <row r="746">
      <c r="A746" s="45"/>
      <c r="B746" s="45"/>
      <c r="C746" s="45"/>
      <c r="D746" s="45"/>
      <c r="E746" s="258"/>
      <c r="F746" s="45"/>
      <c r="G746" s="474"/>
      <c r="H746" s="475"/>
      <c r="I746" s="373"/>
      <c r="J746" s="45"/>
      <c r="K746" s="45"/>
    </row>
    <row r="747">
      <c r="A747" s="45"/>
      <c r="B747" s="45"/>
      <c r="C747" s="45"/>
      <c r="D747" s="45"/>
      <c r="E747" s="258"/>
      <c r="F747" s="45"/>
      <c r="G747" s="474"/>
      <c r="H747" s="475"/>
      <c r="I747" s="373"/>
      <c r="J747" s="45"/>
      <c r="K747" s="45"/>
    </row>
    <row r="748">
      <c r="A748" s="45"/>
      <c r="B748" s="45"/>
      <c r="C748" s="45"/>
      <c r="D748" s="45"/>
      <c r="E748" s="258"/>
      <c r="F748" s="45"/>
      <c r="G748" s="474"/>
      <c r="H748" s="475"/>
      <c r="I748" s="373"/>
      <c r="J748" s="45"/>
      <c r="K748" s="45"/>
    </row>
    <row r="749">
      <c r="A749" s="45"/>
      <c r="B749" s="45"/>
      <c r="C749" s="45"/>
      <c r="D749" s="45"/>
      <c r="E749" s="258"/>
      <c r="F749" s="45"/>
      <c r="G749" s="474"/>
      <c r="H749" s="475"/>
      <c r="I749" s="373"/>
      <c r="J749" s="45"/>
      <c r="K749" s="45"/>
    </row>
    <row r="750">
      <c r="A750" s="45"/>
      <c r="B750" s="45"/>
      <c r="C750" s="45"/>
      <c r="D750" s="45"/>
      <c r="E750" s="258"/>
      <c r="F750" s="45"/>
      <c r="G750" s="474"/>
      <c r="H750" s="475"/>
      <c r="I750" s="373"/>
      <c r="J750" s="45"/>
      <c r="K750" s="45"/>
    </row>
    <row r="751">
      <c r="A751" s="45"/>
      <c r="B751" s="45"/>
      <c r="C751" s="45"/>
      <c r="D751" s="45"/>
      <c r="E751" s="258"/>
      <c r="F751" s="45"/>
      <c r="G751" s="474"/>
      <c r="H751" s="475"/>
      <c r="I751" s="373"/>
      <c r="J751" s="45"/>
      <c r="K751" s="45"/>
    </row>
    <row r="752">
      <c r="A752" s="45"/>
      <c r="B752" s="45"/>
      <c r="C752" s="45"/>
      <c r="D752" s="45"/>
      <c r="E752" s="258"/>
      <c r="F752" s="45"/>
      <c r="G752" s="474"/>
      <c r="H752" s="475"/>
      <c r="I752" s="373"/>
      <c r="J752" s="45"/>
      <c r="K752" s="45"/>
    </row>
    <row r="753">
      <c r="A753" s="45"/>
      <c r="B753" s="45"/>
      <c r="C753" s="45"/>
      <c r="D753" s="45"/>
      <c r="E753" s="258"/>
      <c r="F753" s="45"/>
      <c r="G753" s="474"/>
      <c r="H753" s="475"/>
      <c r="I753" s="373"/>
      <c r="J753" s="45"/>
      <c r="K753" s="45"/>
    </row>
    <row r="754">
      <c r="A754" s="45"/>
      <c r="B754" s="45"/>
      <c r="C754" s="45"/>
      <c r="D754" s="45"/>
      <c r="E754" s="258"/>
      <c r="F754" s="45"/>
      <c r="G754" s="474"/>
      <c r="H754" s="475"/>
      <c r="I754" s="373"/>
      <c r="J754" s="45"/>
      <c r="K754" s="45"/>
    </row>
    <row r="755">
      <c r="A755" s="45"/>
      <c r="B755" s="45"/>
      <c r="C755" s="45"/>
      <c r="D755" s="45"/>
      <c r="E755" s="258"/>
      <c r="F755" s="45"/>
      <c r="G755" s="474"/>
      <c r="H755" s="475"/>
      <c r="I755" s="373"/>
      <c r="J755" s="45"/>
      <c r="K755" s="45"/>
    </row>
    <row r="756">
      <c r="A756" s="45"/>
      <c r="B756" s="45"/>
      <c r="C756" s="45"/>
      <c r="D756" s="45"/>
      <c r="E756" s="258"/>
      <c r="F756" s="45"/>
      <c r="G756" s="474"/>
      <c r="H756" s="475"/>
      <c r="I756" s="373"/>
      <c r="J756" s="45"/>
      <c r="K756" s="45"/>
    </row>
    <row r="757">
      <c r="A757" s="45"/>
      <c r="B757" s="45"/>
      <c r="C757" s="45"/>
      <c r="D757" s="45"/>
      <c r="E757" s="258"/>
      <c r="F757" s="45"/>
      <c r="G757" s="474"/>
      <c r="H757" s="475"/>
      <c r="I757" s="373"/>
      <c r="J757" s="45"/>
      <c r="K757" s="45"/>
    </row>
    <row r="758">
      <c r="A758" s="45"/>
      <c r="B758" s="45"/>
      <c r="C758" s="45"/>
      <c r="D758" s="45"/>
      <c r="E758" s="258"/>
      <c r="F758" s="45"/>
      <c r="G758" s="474"/>
      <c r="H758" s="475"/>
      <c r="I758" s="373"/>
      <c r="J758" s="45"/>
      <c r="K758" s="45"/>
    </row>
    <row r="759">
      <c r="A759" s="45"/>
      <c r="B759" s="45"/>
      <c r="C759" s="45"/>
      <c r="D759" s="45"/>
      <c r="E759" s="258"/>
      <c r="F759" s="45"/>
      <c r="G759" s="474"/>
      <c r="H759" s="475"/>
      <c r="I759" s="373"/>
      <c r="J759" s="45"/>
      <c r="K759" s="45"/>
    </row>
    <row r="760">
      <c r="A760" s="45"/>
      <c r="B760" s="45"/>
      <c r="C760" s="45"/>
      <c r="D760" s="45"/>
      <c r="E760" s="258"/>
      <c r="F760" s="45"/>
      <c r="G760" s="474"/>
      <c r="H760" s="475"/>
      <c r="I760" s="373"/>
      <c r="J760" s="45"/>
      <c r="K760" s="45"/>
    </row>
    <row r="761">
      <c r="A761" s="45"/>
      <c r="B761" s="45"/>
      <c r="C761" s="45"/>
      <c r="D761" s="45"/>
      <c r="E761" s="258"/>
      <c r="F761" s="45"/>
      <c r="G761" s="474"/>
      <c r="H761" s="475"/>
      <c r="I761" s="373"/>
      <c r="J761" s="45"/>
      <c r="K761" s="45"/>
    </row>
    <row r="762">
      <c r="A762" s="45"/>
      <c r="B762" s="45"/>
      <c r="C762" s="45"/>
      <c r="D762" s="45"/>
      <c r="E762" s="258"/>
      <c r="F762" s="45"/>
      <c r="G762" s="474"/>
      <c r="H762" s="475"/>
      <c r="I762" s="373"/>
      <c r="J762" s="45"/>
      <c r="K762" s="45"/>
    </row>
    <row r="763">
      <c r="A763" s="45"/>
      <c r="B763" s="45"/>
      <c r="C763" s="45"/>
      <c r="D763" s="45"/>
      <c r="E763" s="258"/>
      <c r="F763" s="45"/>
      <c r="G763" s="474"/>
      <c r="H763" s="475"/>
      <c r="I763" s="373"/>
      <c r="J763" s="45"/>
      <c r="K763" s="45"/>
    </row>
    <row r="764">
      <c r="A764" s="45"/>
      <c r="B764" s="45"/>
      <c r="C764" s="45"/>
      <c r="D764" s="45"/>
      <c r="E764" s="258"/>
      <c r="F764" s="45"/>
      <c r="G764" s="474"/>
      <c r="H764" s="475"/>
      <c r="I764" s="373"/>
      <c r="J764" s="45"/>
      <c r="K764" s="45"/>
    </row>
    <row r="765">
      <c r="A765" s="45"/>
      <c r="B765" s="45"/>
      <c r="C765" s="45"/>
      <c r="D765" s="45"/>
      <c r="E765" s="258"/>
      <c r="F765" s="45"/>
      <c r="G765" s="474"/>
      <c r="H765" s="475"/>
      <c r="I765" s="373"/>
      <c r="J765" s="45"/>
      <c r="K765" s="45"/>
    </row>
    <row r="766">
      <c r="A766" s="45"/>
      <c r="B766" s="45"/>
      <c r="C766" s="45"/>
      <c r="D766" s="45"/>
      <c r="E766" s="258"/>
      <c r="F766" s="45"/>
      <c r="G766" s="474"/>
      <c r="H766" s="475"/>
      <c r="I766" s="373"/>
      <c r="J766" s="45"/>
      <c r="K766" s="45"/>
    </row>
    <row r="767">
      <c r="A767" s="45"/>
      <c r="B767" s="45"/>
      <c r="C767" s="45"/>
      <c r="D767" s="45"/>
      <c r="E767" s="258"/>
      <c r="F767" s="45"/>
      <c r="G767" s="474"/>
      <c r="H767" s="475"/>
      <c r="I767" s="373"/>
      <c r="J767" s="45"/>
      <c r="K767" s="45"/>
    </row>
    <row r="768">
      <c r="A768" s="45"/>
      <c r="B768" s="45"/>
      <c r="C768" s="45"/>
      <c r="D768" s="45"/>
      <c r="E768" s="258"/>
      <c r="F768" s="45"/>
      <c r="G768" s="474"/>
      <c r="H768" s="475"/>
      <c r="I768" s="373"/>
      <c r="J768" s="45"/>
      <c r="K768" s="45"/>
    </row>
    <row r="769">
      <c r="A769" s="45"/>
      <c r="B769" s="45"/>
      <c r="C769" s="45"/>
      <c r="D769" s="45"/>
      <c r="E769" s="258"/>
      <c r="F769" s="45"/>
      <c r="G769" s="474"/>
      <c r="H769" s="475"/>
      <c r="I769" s="373"/>
      <c r="J769" s="45"/>
      <c r="K769" s="45"/>
    </row>
    <row r="770">
      <c r="A770" s="45"/>
      <c r="B770" s="45"/>
      <c r="C770" s="45"/>
      <c r="D770" s="45"/>
      <c r="E770" s="258"/>
      <c r="F770" s="45"/>
      <c r="G770" s="474"/>
      <c r="H770" s="475"/>
      <c r="I770" s="373"/>
      <c r="J770" s="45"/>
      <c r="K770" s="45"/>
    </row>
    <row r="771">
      <c r="A771" s="45"/>
      <c r="B771" s="45"/>
      <c r="C771" s="45"/>
      <c r="D771" s="45"/>
      <c r="E771" s="258"/>
      <c r="F771" s="45"/>
      <c r="G771" s="474"/>
      <c r="H771" s="475"/>
      <c r="I771" s="373"/>
      <c r="J771" s="45"/>
      <c r="K771" s="45"/>
    </row>
    <row r="772">
      <c r="A772" s="45"/>
      <c r="B772" s="45"/>
      <c r="C772" s="45"/>
      <c r="D772" s="45"/>
      <c r="E772" s="258"/>
      <c r="F772" s="45"/>
      <c r="G772" s="474"/>
      <c r="H772" s="475"/>
      <c r="I772" s="373"/>
      <c r="J772" s="45"/>
      <c r="K772" s="45"/>
    </row>
    <row r="773">
      <c r="A773" s="45"/>
      <c r="B773" s="45"/>
      <c r="C773" s="45"/>
      <c r="D773" s="45"/>
      <c r="E773" s="258"/>
      <c r="F773" s="45"/>
      <c r="G773" s="474"/>
      <c r="H773" s="475"/>
      <c r="I773" s="373"/>
      <c r="J773" s="45"/>
      <c r="K773" s="45"/>
    </row>
    <row r="774">
      <c r="A774" s="45"/>
      <c r="B774" s="45"/>
      <c r="C774" s="45"/>
      <c r="D774" s="45"/>
      <c r="E774" s="258"/>
      <c r="F774" s="45"/>
      <c r="G774" s="474"/>
      <c r="H774" s="475"/>
      <c r="I774" s="373"/>
      <c r="J774" s="45"/>
      <c r="K774" s="45"/>
    </row>
    <row r="775">
      <c r="A775" s="45"/>
      <c r="B775" s="45"/>
      <c r="C775" s="45"/>
      <c r="D775" s="45"/>
      <c r="E775" s="258"/>
      <c r="F775" s="45"/>
      <c r="G775" s="474"/>
      <c r="H775" s="475"/>
      <c r="I775" s="373"/>
      <c r="J775" s="45"/>
      <c r="K775" s="45"/>
    </row>
    <row r="776">
      <c r="A776" s="45"/>
      <c r="B776" s="45"/>
      <c r="C776" s="45"/>
      <c r="D776" s="45"/>
      <c r="E776" s="258"/>
      <c r="F776" s="45"/>
      <c r="G776" s="474"/>
      <c r="H776" s="475"/>
      <c r="I776" s="373"/>
      <c r="J776" s="45"/>
      <c r="K776" s="45"/>
    </row>
    <row r="777">
      <c r="A777" s="45"/>
      <c r="B777" s="45"/>
      <c r="C777" s="45"/>
      <c r="D777" s="45"/>
      <c r="E777" s="258"/>
      <c r="F777" s="45"/>
      <c r="G777" s="474"/>
      <c r="H777" s="475"/>
      <c r="I777" s="373"/>
      <c r="J777" s="45"/>
      <c r="K777" s="45"/>
    </row>
    <row r="778">
      <c r="A778" s="45"/>
      <c r="B778" s="45"/>
      <c r="C778" s="45"/>
      <c r="D778" s="45"/>
      <c r="E778" s="258"/>
      <c r="F778" s="45"/>
      <c r="G778" s="474"/>
      <c r="H778" s="475"/>
      <c r="I778" s="373"/>
      <c r="J778" s="45"/>
      <c r="K778" s="45"/>
    </row>
    <row r="779">
      <c r="A779" s="45"/>
      <c r="B779" s="45"/>
      <c r="C779" s="45"/>
      <c r="D779" s="45"/>
      <c r="E779" s="258"/>
      <c r="F779" s="45"/>
      <c r="G779" s="474"/>
      <c r="H779" s="475"/>
      <c r="I779" s="373"/>
      <c r="J779" s="45"/>
      <c r="K779" s="45"/>
    </row>
    <row r="780">
      <c r="A780" s="45"/>
      <c r="B780" s="45"/>
      <c r="C780" s="45"/>
      <c r="D780" s="45"/>
      <c r="E780" s="258"/>
      <c r="F780" s="45"/>
      <c r="G780" s="474"/>
      <c r="H780" s="475"/>
      <c r="I780" s="373"/>
      <c r="J780" s="45"/>
      <c r="K780" s="45"/>
    </row>
    <row r="781">
      <c r="A781" s="45"/>
      <c r="B781" s="45"/>
      <c r="C781" s="45"/>
      <c r="D781" s="45"/>
      <c r="E781" s="258"/>
      <c r="F781" s="45"/>
      <c r="G781" s="474"/>
      <c r="H781" s="475"/>
      <c r="I781" s="373"/>
      <c r="J781" s="45"/>
      <c r="K781" s="45"/>
    </row>
    <row r="782">
      <c r="A782" s="45"/>
      <c r="B782" s="45"/>
      <c r="C782" s="45"/>
      <c r="D782" s="45"/>
      <c r="E782" s="258"/>
      <c r="F782" s="45"/>
      <c r="G782" s="474"/>
      <c r="H782" s="475"/>
      <c r="I782" s="373"/>
      <c r="J782" s="45"/>
      <c r="K782" s="45"/>
    </row>
    <row r="783">
      <c r="A783" s="45"/>
      <c r="B783" s="45"/>
      <c r="C783" s="45"/>
      <c r="D783" s="45"/>
      <c r="E783" s="258"/>
      <c r="F783" s="45"/>
      <c r="G783" s="474"/>
      <c r="H783" s="475"/>
      <c r="I783" s="373"/>
      <c r="J783" s="45"/>
      <c r="K783" s="45"/>
    </row>
    <row r="784">
      <c r="A784" s="45"/>
      <c r="B784" s="45"/>
      <c r="C784" s="45"/>
      <c r="D784" s="45"/>
      <c r="E784" s="258"/>
      <c r="F784" s="45"/>
      <c r="G784" s="474"/>
      <c r="H784" s="475"/>
      <c r="I784" s="373"/>
      <c r="J784" s="45"/>
      <c r="K784" s="45"/>
    </row>
    <row r="785">
      <c r="A785" s="45"/>
      <c r="B785" s="45"/>
      <c r="C785" s="45"/>
      <c r="D785" s="45"/>
      <c r="E785" s="258"/>
      <c r="F785" s="45"/>
      <c r="G785" s="474"/>
      <c r="H785" s="475"/>
      <c r="I785" s="373"/>
      <c r="J785" s="45"/>
      <c r="K785" s="45"/>
    </row>
    <row r="786">
      <c r="A786" s="45"/>
      <c r="B786" s="45"/>
      <c r="C786" s="45"/>
      <c r="D786" s="45"/>
      <c r="E786" s="258"/>
      <c r="F786" s="45"/>
      <c r="G786" s="474"/>
      <c r="H786" s="475"/>
      <c r="I786" s="373"/>
      <c r="J786" s="45"/>
      <c r="K786" s="45"/>
    </row>
    <row r="787">
      <c r="A787" s="45"/>
      <c r="B787" s="45"/>
      <c r="C787" s="45"/>
      <c r="D787" s="45"/>
      <c r="E787" s="258"/>
      <c r="F787" s="45"/>
      <c r="G787" s="474"/>
      <c r="H787" s="475"/>
      <c r="I787" s="373"/>
      <c r="J787" s="45"/>
      <c r="K787" s="45"/>
    </row>
    <row r="788">
      <c r="A788" s="45"/>
      <c r="B788" s="45"/>
      <c r="C788" s="45"/>
      <c r="D788" s="45"/>
      <c r="E788" s="258"/>
      <c r="F788" s="45"/>
      <c r="G788" s="474"/>
      <c r="H788" s="475"/>
      <c r="I788" s="373"/>
      <c r="J788" s="45"/>
      <c r="K788" s="45"/>
    </row>
    <row r="789">
      <c r="A789" s="45"/>
      <c r="B789" s="45"/>
      <c r="C789" s="45"/>
      <c r="D789" s="45"/>
      <c r="E789" s="258"/>
      <c r="F789" s="45"/>
      <c r="G789" s="474"/>
      <c r="H789" s="475"/>
      <c r="I789" s="373"/>
      <c r="J789" s="45"/>
      <c r="K789" s="45"/>
    </row>
    <row r="790">
      <c r="A790" s="45"/>
      <c r="B790" s="45"/>
      <c r="C790" s="45"/>
      <c r="D790" s="45"/>
      <c r="E790" s="258"/>
      <c r="F790" s="45"/>
      <c r="G790" s="474"/>
      <c r="H790" s="475"/>
      <c r="I790" s="373"/>
      <c r="J790" s="45"/>
      <c r="K790" s="45"/>
    </row>
    <row r="791">
      <c r="A791" s="45"/>
      <c r="B791" s="45"/>
      <c r="C791" s="45"/>
      <c r="D791" s="45"/>
      <c r="E791" s="258"/>
      <c r="F791" s="45"/>
      <c r="G791" s="474"/>
      <c r="H791" s="475"/>
      <c r="I791" s="373"/>
      <c r="J791" s="45"/>
      <c r="K791" s="45"/>
    </row>
    <row r="792">
      <c r="A792" s="45"/>
      <c r="B792" s="45"/>
      <c r="C792" s="45"/>
      <c r="D792" s="45"/>
      <c r="E792" s="258"/>
      <c r="F792" s="45"/>
      <c r="G792" s="474"/>
      <c r="H792" s="475"/>
      <c r="I792" s="373"/>
      <c r="J792" s="45"/>
      <c r="K792" s="45"/>
    </row>
    <row r="793">
      <c r="A793" s="45"/>
      <c r="B793" s="45"/>
      <c r="C793" s="45"/>
      <c r="D793" s="45"/>
      <c r="E793" s="258"/>
      <c r="F793" s="45"/>
      <c r="G793" s="474"/>
      <c r="H793" s="475"/>
      <c r="I793" s="373"/>
      <c r="J793" s="45"/>
      <c r="K793" s="45"/>
    </row>
    <row r="794">
      <c r="A794" s="45"/>
      <c r="B794" s="45"/>
      <c r="C794" s="45"/>
      <c r="D794" s="45"/>
      <c r="E794" s="258"/>
      <c r="F794" s="45"/>
      <c r="G794" s="474"/>
      <c r="H794" s="475"/>
      <c r="I794" s="373"/>
      <c r="J794" s="45"/>
      <c r="K794" s="45"/>
    </row>
    <row r="795">
      <c r="A795" s="45"/>
      <c r="B795" s="45"/>
      <c r="C795" s="45"/>
      <c r="D795" s="45"/>
      <c r="E795" s="258"/>
      <c r="F795" s="45"/>
      <c r="G795" s="474"/>
      <c r="H795" s="475"/>
      <c r="I795" s="373"/>
      <c r="J795" s="45"/>
      <c r="K795" s="45"/>
    </row>
    <row r="796">
      <c r="A796" s="45"/>
      <c r="B796" s="45"/>
      <c r="C796" s="45"/>
      <c r="D796" s="45"/>
      <c r="E796" s="258"/>
      <c r="F796" s="45"/>
      <c r="G796" s="474"/>
      <c r="H796" s="475"/>
      <c r="I796" s="373"/>
      <c r="J796" s="45"/>
      <c r="K796" s="45"/>
    </row>
    <row r="797">
      <c r="A797" s="45"/>
      <c r="B797" s="45"/>
      <c r="C797" s="45"/>
      <c r="D797" s="45"/>
      <c r="E797" s="258"/>
      <c r="F797" s="45"/>
      <c r="G797" s="474"/>
      <c r="H797" s="475"/>
      <c r="I797" s="373"/>
      <c r="J797" s="45"/>
      <c r="K797" s="45"/>
    </row>
    <row r="798">
      <c r="A798" s="45"/>
      <c r="B798" s="45"/>
      <c r="C798" s="45"/>
      <c r="D798" s="45"/>
      <c r="E798" s="258"/>
      <c r="F798" s="45"/>
      <c r="G798" s="474"/>
      <c r="H798" s="475"/>
      <c r="I798" s="373"/>
      <c r="J798" s="45"/>
      <c r="K798" s="45"/>
    </row>
    <row r="799">
      <c r="A799" s="45"/>
      <c r="B799" s="45"/>
      <c r="C799" s="45"/>
      <c r="D799" s="45"/>
      <c r="E799" s="258"/>
      <c r="F799" s="45"/>
      <c r="G799" s="474"/>
      <c r="H799" s="475"/>
      <c r="I799" s="373"/>
      <c r="J799" s="45"/>
      <c r="K799" s="45"/>
    </row>
    <row r="800">
      <c r="A800" s="45"/>
      <c r="B800" s="45"/>
      <c r="C800" s="45"/>
      <c r="D800" s="45"/>
      <c r="E800" s="258"/>
      <c r="F800" s="45"/>
      <c r="G800" s="474"/>
      <c r="H800" s="475"/>
      <c r="I800" s="373"/>
      <c r="J800" s="45"/>
      <c r="K800" s="45"/>
    </row>
    <row r="801">
      <c r="A801" s="45"/>
      <c r="B801" s="45"/>
      <c r="C801" s="45"/>
      <c r="D801" s="45"/>
      <c r="E801" s="258"/>
      <c r="F801" s="45"/>
      <c r="G801" s="474"/>
      <c r="H801" s="475"/>
      <c r="I801" s="373"/>
      <c r="J801" s="45"/>
      <c r="K801" s="45"/>
    </row>
    <row r="802">
      <c r="A802" s="45"/>
      <c r="B802" s="45"/>
      <c r="C802" s="45"/>
      <c r="D802" s="45"/>
      <c r="E802" s="258"/>
      <c r="F802" s="45"/>
      <c r="G802" s="474"/>
      <c r="H802" s="475"/>
      <c r="I802" s="373"/>
      <c r="J802" s="45"/>
      <c r="K802" s="45"/>
    </row>
    <row r="803">
      <c r="A803" s="45"/>
      <c r="B803" s="45"/>
      <c r="C803" s="45"/>
      <c r="D803" s="45"/>
      <c r="E803" s="258"/>
      <c r="F803" s="45"/>
      <c r="G803" s="474"/>
      <c r="H803" s="475"/>
      <c r="I803" s="373"/>
      <c r="J803" s="45"/>
      <c r="K803" s="45"/>
    </row>
    <row r="804">
      <c r="A804" s="45"/>
      <c r="B804" s="45"/>
      <c r="C804" s="45"/>
      <c r="D804" s="45"/>
      <c r="E804" s="258"/>
      <c r="F804" s="45"/>
      <c r="G804" s="474"/>
      <c r="H804" s="475"/>
      <c r="I804" s="373"/>
      <c r="J804" s="45"/>
      <c r="K804" s="45"/>
    </row>
    <row r="805">
      <c r="A805" s="45"/>
      <c r="B805" s="45"/>
      <c r="C805" s="45"/>
      <c r="D805" s="45"/>
      <c r="E805" s="258"/>
      <c r="F805" s="45"/>
      <c r="G805" s="474"/>
      <c r="H805" s="475"/>
      <c r="I805" s="373"/>
      <c r="J805" s="45"/>
      <c r="K805" s="45"/>
    </row>
    <row r="806">
      <c r="A806" s="45"/>
      <c r="B806" s="45"/>
      <c r="C806" s="45"/>
      <c r="D806" s="45"/>
      <c r="E806" s="258"/>
      <c r="F806" s="45"/>
      <c r="G806" s="474"/>
      <c r="H806" s="475"/>
      <c r="I806" s="373"/>
      <c r="J806" s="45"/>
      <c r="K806" s="45"/>
    </row>
    <row r="807">
      <c r="A807" s="45"/>
      <c r="B807" s="45"/>
      <c r="C807" s="45"/>
      <c r="D807" s="45"/>
      <c r="E807" s="258"/>
      <c r="F807" s="45"/>
      <c r="G807" s="474"/>
      <c r="H807" s="475"/>
      <c r="I807" s="373"/>
      <c r="J807" s="45"/>
      <c r="K807" s="45"/>
    </row>
    <row r="808">
      <c r="A808" s="45"/>
      <c r="B808" s="45"/>
      <c r="C808" s="45"/>
      <c r="D808" s="45"/>
      <c r="E808" s="258"/>
      <c r="F808" s="45"/>
      <c r="G808" s="474"/>
      <c r="H808" s="475"/>
      <c r="I808" s="373"/>
      <c r="J808" s="45"/>
      <c r="K808" s="45"/>
    </row>
    <row r="809">
      <c r="A809" s="45"/>
      <c r="B809" s="45"/>
      <c r="C809" s="45"/>
      <c r="D809" s="45"/>
      <c r="E809" s="258"/>
      <c r="F809" s="45"/>
      <c r="G809" s="474"/>
      <c r="H809" s="475"/>
      <c r="I809" s="373"/>
      <c r="J809" s="45"/>
      <c r="K809" s="45"/>
    </row>
    <row r="810">
      <c r="A810" s="45"/>
      <c r="B810" s="45"/>
      <c r="C810" s="45"/>
      <c r="D810" s="45"/>
      <c r="E810" s="258"/>
      <c r="F810" s="45"/>
      <c r="G810" s="474"/>
      <c r="H810" s="475"/>
      <c r="I810" s="373"/>
      <c r="J810" s="45"/>
      <c r="K810" s="45"/>
    </row>
    <row r="811">
      <c r="A811" s="45"/>
      <c r="B811" s="45"/>
      <c r="C811" s="45"/>
      <c r="D811" s="45"/>
      <c r="E811" s="258"/>
      <c r="F811" s="45"/>
      <c r="G811" s="474"/>
      <c r="H811" s="475"/>
      <c r="I811" s="373"/>
      <c r="J811" s="45"/>
      <c r="K811" s="45"/>
    </row>
    <row r="812">
      <c r="A812" s="45"/>
      <c r="B812" s="45"/>
      <c r="C812" s="45"/>
      <c r="D812" s="45"/>
      <c r="E812" s="258"/>
      <c r="F812" s="45"/>
      <c r="G812" s="474"/>
      <c r="H812" s="475"/>
      <c r="I812" s="373"/>
      <c r="J812" s="45"/>
      <c r="K812" s="45"/>
    </row>
    <row r="813">
      <c r="A813" s="45"/>
      <c r="B813" s="45"/>
      <c r="C813" s="45"/>
      <c r="D813" s="45"/>
      <c r="E813" s="258"/>
      <c r="F813" s="45"/>
      <c r="G813" s="474"/>
      <c r="H813" s="475"/>
      <c r="I813" s="373"/>
      <c r="J813" s="45"/>
      <c r="K813" s="45"/>
    </row>
    <row r="814">
      <c r="A814" s="45"/>
      <c r="B814" s="45"/>
      <c r="C814" s="45"/>
      <c r="D814" s="45"/>
      <c r="E814" s="258"/>
      <c r="F814" s="45"/>
      <c r="G814" s="474"/>
      <c r="H814" s="475"/>
      <c r="I814" s="373"/>
      <c r="J814" s="45"/>
      <c r="K814" s="45"/>
    </row>
    <row r="815">
      <c r="A815" s="45"/>
      <c r="B815" s="45"/>
      <c r="C815" s="45"/>
      <c r="D815" s="45"/>
      <c r="E815" s="258"/>
      <c r="F815" s="45"/>
      <c r="G815" s="474"/>
      <c r="H815" s="475"/>
      <c r="I815" s="373"/>
      <c r="J815" s="45"/>
      <c r="K815" s="45"/>
    </row>
    <row r="816">
      <c r="A816" s="45"/>
      <c r="B816" s="45"/>
      <c r="C816" s="45"/>
      <c r="D816" s="45"/>
      <c r="E816" s="258"/>
      <c r="F816" s="45"/>
      <c r="G816" s="474"/>
      <c r="H816" s="475"/>
      <c r="I816" s="373"/>
      <c r="J816" s="45"/>
      <c r="K816" s="45"/>
    </row>
    <row r="817">
      <c r="A817" s="45"/>
      <c r="B817" s="45"/>
      <c r="C817" s="45"/>
      <c r="D817" s="45"/>
      <c r="E817" s="258"/>
      <c r="F817" s="45"/>
      <c r="G817" s="474"/>
      <c r="H817" s="475"/>
      <c r="I817" s="373"/>
      <c r="J817" s="45"/>
      <c r="K817" s="45"/>
    </row>
    <row r="818">
      <c r="A818" s="45"/>
      <c r="B818" s="45"/>
      <c r="C818" s="45"/>
      <c r="D818" s="45"/>
      <c r="E818" s="258"/>
      <c r="F818" s="45"/>
      <c r="G818" s="474"/>
      <c r="H818" s="475"/>
      <c r="I818" s="373"/>
      <c r="J818" s="45"/>
      <c r="K818" s="45"/>
    </row>
    <row r="819">
      <c r="A819" s="45"/>
      <c r="B819" s="45"/>
      <c r="C819" s="45"/>
      <c r="D819" s="45"/>
      <c r="E819" s="258"/>
      <c r="F819" s="45"/>
      <c r="G819" s="474"/>
      <c r="H819" s="475"/>
      <c r="I819" s="373"/>
      <c r="J819" s="45"/>
      <c r="K819" s="45"/>
    </row>
    <row r="820">
      <c r="A820" s="45"/>
      <c r="B820" s="45"/>
      <c r="C820" s="45"/>
      <c r="D820" s="45"/>
      <c r="E820" s="258"/>
      <c r="F820" s="45"/>
      <c r="G820" s="474"/>
      <c r="H820" s="475"/>
      <c r="I820" s="373"/>
      <c r="J820" s="45"/>
      <c r="K820" s="45"/>
    </row>
    <row r="821">
      <c r="A821" s="45"/>
      <c r="B821" s="45"/>
      <c r="C821" s="45"/>
      <c r="D821" s="45"/>
      <c r="E821" s="258"/>
      <c r="F821" s="45"/>
      <c r="G821" s="474"/>
      <c r="H821" s="475"/>
      <c r="I821" s="373"/>
      <c r="J821" s="45"/>
      <c r="K821" s="45"/>
    </row>
    <row r="822">
      <c r="A822" s="45"/>
      <c r="B822" s="45"/>
      <c r="C822" s="45"/>
      <c r="D822" s="45"/>
      <c r="E822" s="258"/>
      <c r="F822" s="45"/>
      <c r="G822" s="474"/>
      <c r="H822" s="475"/>
      <c r="I822" s="373"/>
      <c r="J822" s="45"/>
      <c r="K822" s="45"/>
    </row>
    <row r="823">
      <c r="A823" s="45"/>
      <c r="B823" s="45"/>
      <c r="C823" s="45"/>
      <c r="D823" s="45"/>
      <c r="E823" s="258"/>
      <c r="F823" s="45"/>
      <c r="G823" s="474"/>
      <c r="H823" s="475"/>
      <c r="I823" s="373"/>
      <c r="J823" s="45"/>
      <c r="K823" s="45"/>
    </row>
    <row r="824">
      <c r="A824" s="45"/>
      <c r="B824" s="45"/>
      <c r="C824" s="45"/>
      <c r="D824" s="45"/>
      <c r="E824" s="258"/>
      <c r="F824" s="45"/>
      <c r="G824" s="474"/>
      <c r="H824" s="475"/>
      <c r="I824" s="373"/>
      <c r="J824" s="45"/>
      <c r="K824" s="45"/>
    </row>
    <row r="825">
      <c r="A825" s="45"/>
      <c r="B825" s="45"/>
      <c r="C825" s="45"/>
      <c r="D825" s="45"/>
      <c r="E825" s="258"/>
      <c r="F825" s="45"/>
      <c r="G825" s="474"/>
      <c r="H825" s="475"/>
      <c r="I825" s="373"/>
      <c r="J825" s="45"/>
      <c r="K825" s="45"/>
    </row>
    <row r="826">
      <c r="A826" s="45"/>
      <c r="B826" s="45"/>
      <c r="C826" s="45"/>
      <c r="D826" s="45"/>
      <c r="E826" s="258"/>
      <c r="F826" s="45"/>
      <c r="G826" s="474"/>
      <c r="H826" s="475"/>
      <c r="I826" s="373"/>
      <c r="J826" s="45"/>
      <c r="K826" s="45"/>
    </row>
    <row r="827">
      <c r="A827" s="45"/>
      <c r="B827" s="45"/>
      <c r="C827" s="45"/>
      <c r="D827" s="45"/>
      <c r="E827" s="258"/>
      <c r="F827" s="45"/>
      <c r="G827" s="474"/>
      <c r="H827" s="475"/>
      <c r="I827" s="373"/>
      <c r="J827" s="45"/>
      <c r="K827" s="45"/>
    </row>
    <row r="828">
      <c r="A828" s="45"/>
      <c r="B828" s="45"/>
      <c r="C828" s="45"/>
      <c r="D828" s="45"/>
      <c r="E828" s="258"/>
      <c r="F828" s="45"/>
      <c r="G828" s="474"/>
      <c r="H828" s="475"/>
      <c r="I828" s="373"/>
      <c r="J828" s="45"/>
      <c r="K828" s="45"/>
    </row>
    <row r="829">
      <c r="A829" s="45"/>
      <c r="B829" s="45"/>
      <c r="C829" s="45"/>
      <c r="D829" s="45"/>
      <c r="E829" s="258"/>
      <c r="F829" s="45"/>
      <c r="G829" s="474"/>
      <c r="H829" s="475"/>
      <c r="I829" s="373"/>
      <c r="J829" s="45"/>
      <c r="K829" s="45"/>
    </row>
    <row r="830">
      <c r="A830" s="45"/>
      <c r="B830" s="45"/>
      <c r="C830" s="45"/>
      <c r="D830" s="45"/>
      <c r="E830" s="258"/>
      <c r="F830" s="45"/>
      <c r="G830" s="474"/>
      <c r="H830" s="475"/>
      <c r="I830" s="373"/>
      <c r="J830" s="45"/>
      <c r="K830" s="45"/>
    </row>
    <row r="831">
      <c r="A831" s="45"/>
      <c r="B831" s="45"/>
      <c r="C831" s="45"/>
      <c r="D831" s="45"/>
      <c r="E831" s="258"/>
      <c r="F831" s="45"/>
      <c r="G831" s="474"/>
      <c r="H831" s="475"/>
      <c r="I831" s="373"/>
      <c r="J831" s="45"/>
      <c r="K831" s="45"/>
    </row>
    <row r="832">
      <c r="A832" s="45"/>
      <c r="B832" s="45"/>
      <c r="C832" s="45"/>
      <c r="D832" s="45"/>
      <c r="E832" s="258"/>
      <c r="F832" s="45"/>
      <c r="G832" s="474"/>
      <c r="H832" s="475"/>
      <c r="I832" s="373"/>
      <c r="J832" s="45"/>
      <c r="K832" s="45"/>
    </row>
    <row r="833">
      <c r="A833" s="45"/>
      <c r="B833" s="45"/>
      <c r="C833" s="45"/>
      <c r="D833" s="45"/>
      <c r="E833" s="258"/>
      <c r="F833" s="45"/>
      <c r="G833" s="474"/>
      <c r="H833" s="475"/>
      <c r="I833" s="373"/>
      <c r="J833" s="45"/>
      <c r="K833" s="45"/>
    </row>
    <row r="834">
      <c r="A834" s="45"/>
      <c r="B834" s="45"/>
      <c r="C834" s="45"/>
      <c r="D834" s="45"/>
      <c r="E834" s="258"/>
      <c r="F834" s="45"/>
      <c r="G834" s="474"/>
      <c r="H834" s="475"/>
      <c r="I834" s="373"/>
      <c r="J834" s="45"/>
      <c r="K834" s="45"/>
    </row>
    <row r="835">
      <c r="A835" s="45"/>
      <c r="B835" s="45"/>
      <c r="C835" s="45"/>
      <c r="D835" s="45"/>
      <c r="E835" s="258"/>
      <c r="F835" s="45"/>
      <c r="G835" s="474"/>
      <c r="H835" s="475"/>
      <c r="I835" s="373"/>
      <c r="J835" s="45"/>
      <c r="K835" s="45"/>
    </row>
    <row r="836">
      <c r="A836" s="45"/>
      <c r="B836" s="45"/>
      <c r="C836" s="45"/>
      <c r="D836" s="45"/>
      <c r="E836" s="258"/>
      <c r="F836" s="45"/>
      <c r="G836" s="474"/>
      <c r="H836" s="475"/>
      <c r="I836" s="373"/>
      <c r="J836" s="45"/>
      <c r="K836" s="45"/>
    </row>
    <row r="837">
      <c r="A837" s="45"/>
      <c r="B837" s="45"/>
      <c r="C837" s="45"/>
      <c r="D837" s="45"/>
      <c r="E837" s="258"/>
      <c r="F837" s="45"/>
      <c r="G837" s="474"/>
      <c r="H837" s="475"/>
      <c r="I837" s="373"/>
      <c r="J837" s="45"/>
      <c r="K837" s="45"/>
    </row>
    <row r="838">
      <c r="A838" s="45"/>
      <c r="B838" s="45"/>
      <c r="C838" s="45"/>
      <c r="D838" s="45"/>
      <c r="E838" s="258"/>
      <c r="F838" s="45"/>
      <c r="G838" s="474"/>
      <c r="H838" s="475"/>
      <c r="I838" s="373"/>
      <c r="J838" s="45"/>
      <c r="K838" s="45"/>
    </row>
    <row r="839">
      <c r="A839" s="45"/>
      <c r="B839" s="45"/>
      <c r="C839" s="45"/>
      <c r="D839" s="45"/>
      <c r="E839" s="258"/>
      <c r="F839" s="45"/>
      <c r="G839" s="474"/>
      <c r="H839" s="475"/>
      <c r="I839" s="373"/>
      <c r="J839" s="45"/>
      <c r="K839" s="45"/>
    </row>
    <row r="840">
      <c r="A840" s="45"/>
      <c r="B840" s="45"/>
      <c r="C840" s="45"/>
      <c r="D840" s="45"/>
      <c r="E840" s="258"/>
      <c r="F840" s="45"/>
      <c r="G840" s="474"/>
      <c r="H840" s="475"/>
      <c r="I840" s="373"/>
      <c r="J840" s="45"/>
      <c r="K840" s="45"/>
    </row>
    <row r="841">
      <c r="A841" s="45"/>
      <c r="B841" s="45"/>
      <c r="C841" s="45"/>
      <c r="D841" s="45"/>
      <c r="E841" s="258"/>
      <c r="F841" s="45"/>
      <c r="G841" s="474"/>
      <c r="H841" s="475"/>
      <c r="I841" s="373"/>
      <c r="J841" s="45"/>
      <c r="K841" s="45"/>
    </row>
    <row r="842">
      <c r="A842" s="45"/>
      <c r="B842" s="45"/>
      <c r="C842" s="45"/>
      <c r="D842" s="45"/>
      <c r="E842" s="258"/>
      <c r="F842" s="45"/>
      <c r="G842" s="474"/>
      <c r="H842" s="475"/>
      <c r="I842" s="373"/>
      <c r="J842" s="45"/>
      <c r="K842" s="45"/>
    </row>
    <row r="843">
      <c r="A843" s="45"/>
      <c r="B843" s="45"/>
      <c r="C843" s="45"/>
      <c r="D843" s="45"/>
      <c r="E843" s="258"/>
      <c r="F843" s="45"/>
      <c r="G843" s="474"/>
      <c r="H843" s="475"/>
      <c r="I843" s="373"/>
      <c r="J843" s="45"/>
      <c r="K843" s="45"/>
    </row>
    <row r="844">
      <c r="A844" s="45"/>
      <c r="B844" s="45"/>
      <c r="C844" s="45"/>
      <c r="D844" s="45"/>
      <c r="E844" s="258"/>
      <c r="F844" s="45"/>
      <c r="G844" s="474"/>
      <c r="H844" s="475"/>
      <c r="I844" s="373"/>
      <c r="J844" s="45"/>
      <c r="K844" s="45"/>
    </row>
    <row r="845">
      <c r="A845" s="45"/>
      <c r="B845" s="45"/>
      <c r="C845" s="45"/>
      <c r="D845" s="45"/>
      <c r="E845" s="258"/>
      <c r="F845" s="45"/>
      <c r="G845" s="474"/>
      <c r="H845" s="475"/>
      <c r="I845" s="373"/>
      <c r="J845" s="45"/>
      <c r="K845" s="45"/>
    </row>
    <row r="846">
      <c r="A846" s="45"/>
      <c r="B846" s="45"/>
      <c r="C846" s="45"/>
      <c r="D846" s="45"/>
      <c r="E846" s="258"/>
      <c r="F846" s="45"/>
      <c r="G846" s="474"/>
      <c r="H846" s="475"/>
      <c r="I846" s="373"/>
      <c r="J846" s="45"/>
      <c r="K846" s="45"/>
    </row>
    <row r="847">
      <c r="A847" s="45"/>
      <c r="B847" s="45"/>
      <c r="C847" s="45"/>
      <c r="D847" s="45"/>
      <c r="E847" s="258"/>
      <c r="F847" s="45"/>
      <c r="G847" s="474"/>
      <c r="H847" s="475"/>
      <c r="I847" s="373"/>
      <c r="J847" s="45"/>
      <c r="K847" s="45"/>
    </row>
    <row r="848">
      <c r="A848" s="45"/>
      <c r="B848" s="45"/>
      <c r="C848" s="45"/>
      <c r="D848" s="45"/>
      <c r="E848" s="258"/>
      <c r="F848" s="45"/>
      <c r="G848" s="474"/>
      <c r="H848" s="475"/>
      <c r="I848" s="373"/>
      <c r="J848" s="45"/>
      <c r="K848" s="45"/>
    </row>
    <row r="849">
      <c r="A849" s="45"/>
      <c r="B849" s="45"/>
      <c r="C849" s="45"/>
      <c r="D849" s="45"/>
      <c r="E849" s="258"/>
      <c r="F849" s="45"/>
      <c r="G849" s="474"/>
      <c r="H849" s="475"/>
      <c r="I849" s="373"/>
      <c r="J849" s="45"/>
      <c r="K849" s="45"/>
    </row>
    <row r="850">
      <c r="A850" s="45"/>
      <c r="B850" s="45"/>
      <c r="C850" s="45"/>
      <c r="D850" s="45"/>
      <c r="E850" s="258"/>
      <c r="F850" s="45"/>
      <c r="G850" s="474"/>
      <c r="H850" s="475"/>
      <c r="I850" s="373"/>
      <c r="J850" s="45"/>
      <c r="K850" s="45"/>
    </row>
    <row r="851">
      <c r="A851" s="45"/>
      <c r="B851" s="45"/>
      <c r="C851" s="45"/>
      <c r="D851" s="45"/>
      <c r="E851" s="258"/>
      <c r="F851" s="45"/>
      <c r="G851" s="474"/>
      <c r="H851" s="475"/>
      <c r="I851" s="373"/>
      <c r="J851" s="45"/>
      <c r="K851" s="45"/>
    </row>
    <row r="852">
      <c r="A852" s="45"/>
      <c r="B852" s="45"/>
      <c r="C852" s="45"/>
      <c r="D852" s="45"/>
      <c r="E852" s="258"/>
      <c r="F852" s="45"/>
      <c r="G852" s="474"/>
      <c r="H852" s="475"/>
      <c r="I852" s="373"/>
      <c r="J852" s="45"/>
      <c r="K852" s="45"/>
    </row>
    <row r="853">
      <c r="A853" s="45"/>
      <c r="B853" s="45"/>
      <c r="C853" s="45"/>
      <c r="D853" s="45"/>
      <c r="E853" s="258"/>
      <c r="F853" s="45"/>
      <c r="G853" s="474"/>
      <c r="H853" s="475"/>
      <c r="I853" s="373"/>
      <c r="J853" s="45"/>
      <c r="K853" s="45"/>
    </row>
    <row r="854">
      <c r="A854" s="45"/>
      <c r="B854" s="45"/>
      <c r="C854" s="45"/>
      <c r="D854" s="45"/>
      <c r="E854" s="258"/>
      <c r="F854" s="45"/>
      <c r="G854" s="474"/>
      <c r="H854" s="475"/>
      <c r="I854" s="373"/>
      <c r="J854" s="45"/>
      <c r="K854" s="45"/>
    </row>
    <row r="855">
      <c r="A855" s="45"/>
      <c r="B855" s="45"/>
      <c r="C855" s="45"/>
      <c r="D855" s="45"/>
      <c r="E855" s="258"/>
      <c r="F855" s="45"/>
      <c r="G855" s="474"/>
      <c r="H855" s="475"/>
      <c r="I855" s="373"/>
      <c r="J855" s="45"/>
      <c r="K855" s="45"/>
    </row>
    <row r="856">
      <c r="A856" s="45"/>
      <c r="B856" s="45"/>
      <c r="C856" s="45"/>
      <c r="D856" s="45"/>
      <c r="E856" s="258"/>
      <c r="F856" s="45"/>
      <c r="G856" s="474"/>
      <c r="H856" s="475"/>
      <c r="I856" s="373"/>
      <c r="J856" s="45"/>
      <c r="K856" s="45"/>
    </row>
    <row r="857">
      <c r="A857" s="45"/>
      <c r="B857" s="45"/>
      <c r="C857" s="45"/>
      <c r="D857" s="45"/>
      <c r="E857" s="258"/>
      <c r="F857" s="45"/>
      <c r="G857" s="474"/>
      <c r="H857" s="475"/>
      <c r="I857" s="373"/>
      <c r="J857" s="45"/>
      <c r="K857" s="45"/>
    </row>
    <row r="858">
      <c r="A858" s="45"/>
      <c r="B858" s="45"/>
      <c r="C858" s="45"/>
      <c r="D858" s="45"/>
      <c r="E858" s="258"/>
      <c r="F858" s="45"/>
      <c r="G858" s="474"/>
      <c r="H858" s="475"/>
      <c r="I858" s="373"/>
      <c r="J858" s="45"/>
      <c r="K858" s="45"/>
    </row>
    <row r="859">
      <c r="A859" s="45"/>
      <c r="B859" s="45"/>
      <c r="C859" s="45"/>
      <c r="D859" s="45"/>
      <c r="E859" s="258"/>
      <c r="F859" s="45"/>
      <c r="G859" s="474"/>
      <c r="H859" s="475"/>
      <c r="I859" s="373"/>
      <c r="J859" s="45"/>
      <c r="K859" s="45"/>
    </row>
    <row r="860">
      <c r="A860" s="45"/>
      <c r="B860" s="45"/>
      <c r="C860" s="45"/>
      <c r="D860" s="45"/>
      <c r="E860" s="258"/>
      <c r="F860" s="45"/>
      <c r="G860" s="474"/>
      <c r="H860" s="475"/>
      <c r="I860" s="373"/>
      <c r="J860" s="45"/>
      <c r="K860" s="45"/>
    </row>
    <row r="861">
      <c r="A861" s="45"/>
      <c r="B861" s="45"/>
      <c r="C861" s="45"/>
      <c r="D861" s="45"/>
      <c r="E861" s="258"/>
      <c r="F861" s="45"/>
      <c r="G861" s="474"/>
      <c r="H861" s="475"/>
      <c r="I861" s="373"/>
      <c r="J861" s="45"/>
      <c r="K861" s="45"/>
    </row>
    <row r="862">
      <c r="A862" s="45"/>
      <c r="B862" s="45"/>
      <c r="C862" s="45"/>
      <c r="D862" s="45"/>
      <c r="E862" s="258"/>
      <c r="F862" s="45"/>
      <c r="G862" s="474"/>
      <c r="H862" s="475"/>
      <c r="I862" s="373"/>
      <c r="J862" s="45"/>
      <c r="K862" s="45"/>
    </row>
    <row r="863">
      <c r="A863" s="45"/>
      <c r="B863" s="45"/>
      <c r="C863" s="45"/>
      <c r="D863" s="45"/>
      <c r="E863" s="258"/>
      <c r="F863" s="45"/>
      <c r="G863" s="474"/>
      <c r="H863" s="475"/>
      <c r="I863" s="373"/>
      <c r="J863" s="45"/>
      <c r="K863" s="45"/>
    </row>
    <row r="864">
      <c r="A864" s="45"/>
      <c r="B864" s="45"/>
      <c r="C864" s="45"/>
      <c r="D864" s="45"/>
      <c r="E864" s="258"/>
      <c r="F864" s="45"/>
      <c r="G864" s="474"/>
      <c r="H864" s="475"/>
      <c r="I864" s="373"/>
      <c r="J864" s="45"/>
      <c r="K864" s="45"/>
    </row>
    <row r="865">
      <c r="A865" s="45"/>
      <c r="B865" s="45"/>
      <c r="C865" s="45"/>
      <c r="D865" s="45"/>
      <c r="E865" s="258"/>
      <c r="F865" s="45"/>
      <c r="G865" s="474"/>
      <c r="H865" s="475"/>
      <c r="I865" s="373"/>
      <c r="J865" s="45"/>
      <c r="K865" s="45"/>
    </row>
    <row r="866">
      <c r="A866" s="45"/>
      <c r="B866" s="45"/>
      <c r="C866" s="45"/>
      <c r="D866" s="45"/>
      <c r="E866" s="258"/>
      <c r="F866" s="45"/>
      <c r="G866" s="474"/>
      <c r="H866" s="475"/>
      <c r="I866" s="373"/>
      <c r="J866" s="45"/>
      <c r="K866" s="45"/>
    </row>
    <row r="867">
      <c r="A867" s="45"/>
      <c r="B867" s="45"/>
      <c r="C867" s="45"/>
      <c r="D867" s="45"/>
      <c r="E867" s="258"/>
      <c r="F867" s="45"/>
      <c r="G867" s="474"/>
      <c r="H867" s="475"/>
      <c r="I867" s="373"/>
      <c r="J867" s="45"/>
      <c r="K867" s="45"/>
    </row>
    <row r="868">
      <c r="A868" s="45"/>
      <c r="B868" s="45"/>
      <c r="C868" s="45"/>
      <c r="D868" s="45"/>
      <c r="E868" s="258"/>
      <c r="F868" s="45"/>
      <c r="G868" s="474"/>
      <c r="H868" s="475"/>
      <c r="I868" s="373"/>
      <c r="J868" s="45"/>
      <c r="K868" s="45"/>
    </row>
    <row r="869">
      <c r="A869" s="45"/>
      <c r="B869" s="45"/>
      <c r="C869" s="45"/>
      <c r="D869" s="45"/>
      <c r="E869" s="258"/>
      <c r="F869" s="45"/>
      <c r="G869" s="474"/>
      <c r="H869" s="475"/>
      <c r="I869" s="373"/>
      <c r="J869" s="45"/>
      <c r="K869" s="45"/>
    </row>
    <row r="870">
      <c r="A870" s="45"/>
      <c r="B870" s="45"/>
      <c r="C870" s="45"/>
      <c r="D870" s="45"/>
      <c r="E870" s="258"/>
      <c r="F870" s="45"/>
      <c r="G870" s="474"/>
      <c r="H870" s="475"/>
      <c r="I870" s="373"/>
      <c r="J870" s="45"/>
      <c r="K870" s="45"/>
    </row>
    <row r="871">
      <c r="A871" s="45"/>
      <c r="B871" s="45"/>
      <c r="C871" s="45"/>
      <c r="D871" s="45"/>
      <c r="E871" s="258"/>
      <c r="F871" s="45"/>
      <c r="G871" s="474"/>
      <c r="H871" s="475"/>
      <c r="I871" s="373"/>
      <c r="J871" s="45"/>
      <c r="K871" s="45"/>
    </row>
    <row r="872">
      <c r="A872" s="45"/>
      <c r="B872" s="45"/>
      <c r="C872" s="45"/>
      <c r="D872" s="45"/>
      <c r="E872" s="258"/>
      <c r="F872" s="45"/>
      <c r="G872" s="474"/>
      <c r="H872" s="475"/>
      <c r="I872" s="373"/>
      <c r="J872" s="45"/>
      <c r="K872" s="45"/>
    </row>
    <row r="873">
      <c r="A873" s="45"/>
      <c r="B873" s="45"/>
      <c r="C873" s="45"/>
      <c r="D873" s="45"/>
      <c r="E873" s="258"/>
      <c r="F873" s="45"/>
      <c r="G873" s="474"/>
      <c r="H873" s="475"/>
      <c r="I873" s="373"/>
      <c r="J873" s="45"/>
      <c r="K873" s="45"/>
    </row>
    <row r="874">
      <c r="A874" s="45"/>
      <c r="B874" s="45"/>
      <c r="C874" s="45"/>
      <c r="D874" s="45"/>
      <c r="E874" s="258"/>
      <c r="F874" s="45"/>
      <c r="G874" s="474"/>
      <c r="H874" s="475"/>
      <c r="I874" s="373"/>
      <c r="J874" s="45"/>
      <c r="K874" s="45"/>
    </row>
    <row r="875">
      <c r="A875" s="45"/>
      <c r="B875" s="45"/>
      <c r="C875" s="45"/>
      <c r="D875" s="45"/>
      <c r="E875" s="258"/>
      <c r="F875" s="45"/>
      <c r="G875" s="474"/>
      <c r="H875" s="475"/>
      <c r="I875" s="373"/>
      <c r="J875" s="45"/>
      <c r="K875" s="45"/>
    </row>
    <row r="876">
      <c r="A876" s="45"/>
      <c r="B876" s="45"/>
      <c r="C876" s="45"/>
      <c r="D876" s="45"/>
      <c r="E876" s="258"/>
      <c r="F876" s="45"/>
      <c r="G876" s="474"/>
      <c r="H876" s="475"/>
      <c r="I876" s="373"/>
      <c r="J876" s="45"/>
      <c r="K876" s="45"/>
    </row>
    <row r="877">
      <c r="A877" s="45"/>
      <c r="B877" s="45"/>
      <c r="C877" s="45"/>
      <c r="D877" s="45"/>
      <c r="E877" s="258"/>
      <c r="F877" s="45"/>
      <c r="G877" s="474"/>
      <c r="H877" s="475"/>
      <c r="I877" s="373"/>
      <c r="J877" s="45"/>
      <c r="K877" s="45"/>
    </row>
    <row r="878">
      <c r="A878" s="45"/>
      <c r="B878" s="45"/>
      <c r="C878" s="45"/>
      <c r="D878" s="45"/>
      <c r="E878" s="258"/>
      <c r="F878" s="45"/>
      <c r="G878" s="474"/>
      <c r="H878" s="475"/>
      <c r="I878" s="373"/>
      <c r="J878" s="45"/>
      <c r="K878" s="45"/>
    </row>
    <row r="879">
      <c r="A879" s="45"/>
      <c r="B879" s="45"/>
      <c r="C879" s="45"/>
      <c r="D879" s="45"/>
      <c r="E879" s="258"/>
      <c r="F879" s="45"/>
      <c r="G879" s="474"/>
      <c r="H879" s="475"/>
      <c r="I879" s="373"/>
      <c r="J879" s="45"/>
      <c r="K879" s="45"/>
    </row>
    <row r="880">
      <c r="A880" s="45"/>
      <c r="B880" s="45"/>
      <c r="C880" s="45"/>
      <c r="D880" s="45"/>
      <c r="E880" s="258"/>
      <c r="F880" s="45"/>
      <c r="G880" s="474"/>
      <c r="H880" s="475"/>
      <c r="I880" s="373"/>
      <c r="J880" s="45"/>
      <c r="K880" s="45"/>
    </row>
    <row r="881">
      <c r="A881" s="45"/>
      <c r="B881" s="45"/>
      <c r="C881" s="45"/>
      <c r="D881" s="45"/>
      <c r="E881" s="258"/>
      <c r="F881" s="45"/>
      <c r="G881" s="474"/>
      <c r="H881" s="475"/>
      <c r="I881" s="373"/>
      <c r="J881" s="45"/>
      <c r="K881" s="45"/>
    </row>
    <row r="882">
      <c r="A882" s="45"/>
      <c r="B882" s="45"/>
      <c r="C882" s="45"/>
      <c r="D882" s="45"/>
      <c r="E882" s="258"/>
      <c r="F882" s="45"/>
      <c r="G882" s="474"/>
      <c r="H882" s="475"/>
      <c r="I882" s="373"/>
      <c r="J882" s="45"/>
      <c r="K882" s="45"/>
    </row>
    <row r="883">
      <c r="A883" s="45"/>
      <c r="B883" s="45"/>
      <c r="C883" s="45"/>
      <c r="D883" s="45"/>
      <c r="E883" s="258"/>
      <c r="F883" s="45"/>
      <c r="G883" s="474"/>
      <c r="H883" s="475"/>
      <c r="I883" s="373"/>
      <c r="J883" s="45"/>
      <c r="K883" s="45"/>
    </row>
    <row r="884">
      <c r="A884" s="45"/>
      <c r="B884" s="45"/>
      <c r="C884" s="45"/>
      <c r="D884" s="45"/>
      <c r="E884" s="258"/>
      <c r="F884" s="45"/>
      <c r="G884" s="474"/>
      <c r="H884" s="475"/>
      <c r="I884" s="373"/>
      <c r="J884" s="45"/>
      <c r="K884" s="45"/>
    </row>
    <row r="885">
      <c r="A885" s="45"/>
      <c r="B885" s="45"/>
      <c r="C885" s="45"/>
      <c r="D885" s="45"/>
      <c r="E885" s="258"/>
      <c r="F885" s="45"/>
      <c r="G885" s="474"/>
      <c r="H885" s="475"/>
      <c r="I885" s="373"/>
      <c r="J885" s="45"/>
      <c r="K885" s="45"/>
    </row>
    <row r="886">
      <c r="A886" s="45"/>
      <c r="B886" s="45"/>
      <c r="C886" s="45"/>
      <c r="D886" s="45"/>
      <c r="E886" s="258"/>
      <c r="F886" s="45"/>
      <c r="G886" s="474"/>
      <c r="H886" s="475"/>
      <c r="I886" s="373"/>
      <c r="J886" s="45"/>
      <c r="K886" s="45"/>
    </row>
    <row r="887">
      <c r="A887" s="45"/>
      <c r="B887" s="45"/>
      <c r="C887" s="45"/>
      <c r="D887" s="45"/>
      <c r="E887" s="258"/>
      <c r="F887" s="45"/>
      <c r="G887" s="474"/>
      <c r="H887" s="475"/>
      <c r="I887" s="373"/>
      <c r="J887" s="45"/>
      <c r="K887" s="45"/>
    </row>
    <row r="888">
      <c r="A888" s="45"/>
      <c r="B888" s="45"/>
      <c r="C888" s="45"/>
      <c r="D888" s="45"/>
      <c r="E888" s="258"/>
      <c r="F888" s="45"/>
      <c r="G888" s="474"/>
      <c r="H888" s="475"/>
      <c r="I888" s="373"/>
      <c r="J888" s="45"/>
      <c r="K888" s="45"/>
    </row>
    <row r="889">
      <c r="A889" s="45"/>
      <c r="B889" s="45"/>
      <c r="C889" s="45"/>
      <c r="D889" s="45"/>
      <c r="E889" s="258"/>
      <c r="F889" s="45"/>
      <c r="G889" s="474"/>
      <c r="H889" s="475"/>
      <c r="I889" s="373"/>
      <c r="J889" s="45"/>
      <c r="K889" s="45"/>
    </row>
    <row r="890">
      <c r="A890" s="45"/>
      <c r="B890" s="45"/>
      <c r="C890" s="45"/>
      <c r="D890" s="45"/>
      <c r="E890" s="258"/>
      <c r="F890" s="45"/>
      <c r="G890" s="474"/>
      <c r="H890" s="475"/>
      <c r="I890" s="373"/>
      <c r="J890" s="45"/>
      <c r="K890" s="45"/>
    </row>
    <row r="891">
      <c r="A891" s="45"/>
      <c r="B891" s="45"/>
      <c r="C891" s="45"/>
      <c r="D891" s="45"/>
      <c r="E891" s="258"/>
      <c r="F891" s="45"/>
      <c r="G891" s="474"/>
      <c r="H891" s="475"/>
      <c r="I891" s="373"/>
      <c r="J891" s="45"/>
      <c r="K891" s="45"/>
    </row>
    <row r="892">
      <c r="A892" s="45"/>
      <c r="B892" s="45"/>
      <c r="C892" s="45"/>
      <c r="D892" s="45"/>
      <c r="E892" s="258"/>
      <c r="F892" s="45"/>
      <c r="G892" s="474"/>
      <c r="H892" s="475"/>
      <c r="I892" s="373"/>
      <c r="J892" s="45"/>
      <c r="K892" s="45"/>
    </row>
    <row r="893">
      <c r="A893" s="45"/>
      <c r="B893" s="45"/>
      <c r="C893" s="45"/>
      <c r="D893" s="45"/>
      <c r="E893" s="258"/>
      <c r="F893" s="45"/>
      <c r="G893" s="474"/>
      <c r="H893" s="475"/>
      <c r="I893" s="373"/>
      <c r="J893" s="45"/>
      <c r="K893" s="45"/>
    </row>
    <row r="894">
      <c r="A894" s="45"/>
      <c r="B894" s="45"/>
      <c r="C894" s="45"/>
      <c r="D894" s="45"/>
      <c r="E894" s="258"/>
      <c r="F894" s="45"/>
      <c r="G894" s="474"/>
      <c r="H894" s="475"/>
      <c r="I894" s="373"/>
      <c r="J894" s="45"/>
      <c r="K894" s="45"/>
    </row>
    <row r="895">
      <c r="A895" s="45"/>
      <c r="B895" s="45"/>
      <c r="C895" s="45"/>
      <c r="D895" s="45"/>
      <c r="E895" s="258"/>
      <c r="F895" s="45"/>
      <c r="G895" s="474"/>
      <c r="H895" s="475"/>
      <c r="I895" s="373"/>
      <c r="J895" s="45"/>
      <c r="K895" s="45"/>
    </row>
    <row r="896">
      <c r="A896" s="45"/>
      <c r="B896" s="45"/>
      <c r="C896" s="45"/>
      <c r="D896" s="45"/>
      <c r="E896" s="258"/>
      <c r="F896" s="45"/>
      <c r="G896" s="474"/>
      <c r="H896" s="475"/>
      <c r="I896" s="373"/>
      <c r="J896" s="45"/>
      <c r="K896" s="45"/>
    </row>
    <row r="897">
      <c r="A897" s="45"/>
      <c r="B897" s="45"/>
      <c r="C897" s="45"/>
      <c r="D897" s="45"/>
      <c r="E897" s="258"/>
      <c r="F897" s="45"/>
      <c r="G897" s="474"/>
      <c r="H897" s="475"/>
      <c r="I897" s="373"/>
      <c r="J897" s="45"/>
      <c r="K897" s="45"/>
    </row>
    <row r="898">
      <c r="A898" s="45"/>
      <c r="B898" s="45"/>
      <c r="C898" s="45"/>
      <c r="D898" s="45"/>
      <c r="E898" s="258"/>
      <c r="F898" s="45"/>
      <c r="G898" s="474"/>
      <c r="H898" s="475"/>
      <c r="I898" s="373"/>
      <c r="J898" s="45"/>
      <c r="K898" s="45"/>
    </row>
    <row r="899">
      <c r="A899" s="45"/>
      <c r="B899" s="45"/>
      <c r="C899" s="45"/>
      <c r="D899" s="45"/>
      <c r="E899" s="258"/>
      <c r="F899" s="45"/>
      <c r="G899" s="474"/>
      <c r="H899" s="475"/>
      <c r="I899" s="373"/>
      <c r="J899" s="45"/>
      <c r="K899" s="45"/>
    </row>
    <row r="900">
      <c r="A900" s="45"/>
      <c r="B900" s="45"/>
      <c r="C900" s="45"/>
      <c r="D900" s="45"/>
      <c r="E900" s="258"/>
      <c r="F900" s="45"/>
      <c r="G900" s="474"/>
      <c r="H900" s="475"/>
      <c r="I900" s="373"/>
      <c r="J900" s="45"/>
      <c r="K900" s="45"/>
    </row>
    <row r="901">
      <c r="A901" s="45"/>
      <c r="B901" s="45"/>
      <c r="C901" s="45"/>
      <c r="D901" s="45"/>
      <c r="E901" s="258"/>
      <c r="F901" s="45"/>
      <c r="G901" s="474"/>
      <c r="H901" s="475"/>
      <c r="I901" s="373"/>
      <c r="J901" s="45"/>
      <c r="K901" s="45"/>
    </row>
    <row r="902">
      <c r="A902" s="45"/>
      <c r="B902" s="45"/>
      <c r="C902" s="45"/>
      <c r="D902" s="45"/>
      <c r="E902" s="258"/>
      <c r="F902" s="45"/>
      <c r="G902" s="474"/>
      <c r="H902" s="475"/>
      <c r="I902" s="373"/>
      <c r="J902" s="45"/>
      <c r="K902" s="45"/>
    </row>
    <row r="903">
      <c r="A903" s="45"/>
      <c r="B903" s="45"/>
      <c r="C903" s="45"/>
      <c r="D903" s="45"/>
      <c r="E903" s="258"/>
      <c r="F903" s="45"/>
      <c r="G903" s="474"/>
      <c r="H903" s="475"/>
      <c r="I903" s="373"/>
      <c r="J903" s="45"/>
      <c r="K903" s="45"/>
    </row>
    <row r="904">
      <c r="A904" s="45"/>
      <c r="B904" s="45"/>
      <c r="C904" s="45"/>
      <c r="D904" s="45"/>
      <c r="E904" s="258"/>
      <c r="F904" s="45"/>
      <c r="G904" s="474"/>
      <c r="H904" s="475"/>
      <c r="I904" s="373"/>
      <c r="J904" s="45"/>
      <c r="K904" s="45"/>
    </row>
    <row r="905">
      <c r="A905" s="45"/>
      <c r="B905" s="45"/>
      <c r="C905" s="45"/>
      <c r="D905" s="45"/>
      <c r="E905" s="258"/>
      <c r="F905" s="45"/>
      <c r="G905" s="474"/>
      <c r="H905" s="475"/>
      <c r="I905" s="373"/>
      <c r="J905" s="45"/>
      <c r="K905" s="45"/>
    </row>
    <row r="906">
      <c r="A906" s="45"/>
      <c r="B906" s="45"/>
      <c r="C906" s="45"/>
      <c r="D906" s="45"/>
      <c r="E906" s="258"/>
      <c r="F906" s="45"/>
      <c r="G906" s="474"/>
      <c r="H906" s="475"/>
      <c r="I906" s="373"/>
      <c r="J906" s="45"/>
      <c r="K906" s="45"/>
    </row>
    <row r="907">
      <c r="A907" s="45"/>
      <c r="B907" s="45"/>
      <c r="C907" s="45"/>
      <c r="D907" s="45"/>
      <c r="E907" s="258"/>
      <c r="F907" s="45"/>
      <c r="G907" s="474"/>
      <c r="H907" s="475"/>
      <c r="I907" s="373"/>
      <c r="J907" s="45"/>
      <c r="K907" s="45"/>
    </row>
    <row r="908">
      <c r="A908" s="45"/>
      <c r="B908" s="45"/>
      <c r="C908" s="45"/>
      <c r="D908" s="45"/>
      <c r="E908" s="258"/>
      <c r="F908" s="45"/>
      <c r="G908" s="474"/>
      <c r="H908" s="475"/>
      <c r="I908" s="373"/>
      <c r="J908" s="45"/>
      <c r="K908" s="45"/>
    </row>
    <row r="909">
      <c r="A909" s="45"/>
      <c r="B909" s="45"/>
      <c r="C909" s="45"/>
      <c r="D909" s="45"/>
      <c r="E909" s="258"/>
      <c r="F909" s="45"/>
      <c r="G909" s="474"/>
      <c r="H909" s="475"/>
      <c r="I909" s="373"/>
      <c r="J909" s="45"/>
      <c r="K909" s="45"/>
    </row>
    <row r="910">
      <c r="A910" s="45"/>
      <c r="B910" s="45"/>
      <c r="C910" s="45"/>
      <c r="D910" s="45"/>
      <c r="E910" s="258"/>
      <c r="F910" s="45"/>
      <c r="G910" s="474"/>
      <c r="H910" s="475"/>
      <c r="I910" s="373"/>
      <c r="J910" s="45"/>
      <c r="K910" s="45"/>
    </row>
    <row r="911">
      <c r="A911" s="45"/>
      <c r="B911" s="45"/>
      <c r="C911" s="45"/>
      <c r="D911" s="45"/>
      <c r="E911" s="258"/>
      <c r="F911" s="45"/>
      <c r="G911" s="474"/>
      <c r="H911" s="475"/>
      <c r="I911" s="373"/>
      <c r="J911" s="45"/>
      <c r="K911" s="45"/>
    </row>
    <row r="912">
      <c r="A912" s="45"/>
      <c r="B912" s="45"/>
      <c r="C912" s="45"/>
      <c r="D912" s="45"/>
      <c r="E912" s="258"/>
      <c r="F912" s="45"/>
      <c r="G912" s="474"/>
      <c r="H912" s="475"/>
      <c r="I912" s="373"/>
      <c r="J912" s="45"/>
      <c r="K912" s="45"/>
    </row>
    <row r="913">
      <c r="A913" s="45"/>
      <c r="B913" s="45"/>
      <c r="C913" s="45"/>
      <c r="D913" s="45"/>
      <c r="E913" s="258"/>
      <c r="F913" s="45"/>
      <c r="G913" s="474"/>
      <c r="H913" s="475"/>
      <c r="I913" s="373"/>
      <c r="J913" s="45"/>
      <c r="K913" s="45"/>
    </row>
    <row r="914">
      <c r="A914" s="45"/>
      <c r="B914" s="45"/>
      <c r="C914" s="45"/>
      <c r="D914" s="45"/>
      <c r="E914" s="258"/>
      <c r="F914" s="45"/>
      <c r="G914" s="474"/>
      <c r="H914" s="475"/>
      <c r="I914" s="373"/>
      <c r="J914" s="45"/>
      <c r="K914" s="45"/>
    </row>
    <row r="915">
      <c r="A915" s="45"/>
      <c r="B915" s="45"/>
      <c r="C915" s="45"/>
      <c r="D915" s="45"/>
      <c r="E915" s="258"/>
      <c r="F915" s="45"/>
      <c r="G915" s="474"/>
      <c r="H915" s="475"/>
      <c r="I915" s="373"/>
      <c r="J915" s="45"/>
      <c r="K915" s="45"/>
    </row>
    <row r="916">
      <c r="A916" s="45"/>
      <c r="B916" s="45"/>
      <c r="C916" s="45"/>
      <c r="D916" s="45"/>
      <c r="E916" s="258"/>
      <c r="F916" s="45"/>
      <c r="G916" s="474"/>
      <c r="H916" s="475"/>
      <c r="I916" s="373"/>
      <c r="J916" s="45"/>
      <c r="K916" s="45"/>
    </row>
    <row r="917">
      <c r="A917" s="45"/>
      <c r="B917" s="45"/>
      <c r="C917" s="45"/>
      <c r="D917" s="45"/>
      <c r="E917" s="258"/>
      <c r="F917" s="45"/>
      <c r="G917" s="474"/>
      <c r="H917" s="475"/>
      <c r="I917" s="373"/>
      <c r="J917" s="45"/>
      <c r="K917" s="45"/>
    </row>
    <row r="918">
      <c r="A918" s="45"/>
      <c r="B918" s="45"/>
      <c r="C918" s="45"/>
      <c r="D918" s="45"/>
      <c r="E918" s="258"/>
      <c r="F918" s="45"/>
      <c r="G918" s="474"/>
      <c r="H918" s="475"/>
      <c r="I918" s="373"/>
      <c r="J918" s="45"/>
      <c r="K918" s="45"/>
    </row>
    <row r="919">
      <c r="A919" s="45"/>
      <c r="B919" s="45"/>
      <c r="C919" s="45"/>
      <c r="D919" s="45"/>
      <c r="E919" s="258"/>
      <c r="F919" s="45"/>
      <c r="G919" s="474"/>
      <c r="H919" s="475"/>
      <c r="I919" s="373"/>
      <c r="J919" s="45"/>
      <c r="K919" s="45"/>
    </row>
    <row r="920">
      <c r="A920" s="45"/>
      <c r="B920" s="45"/>
      <c r="C920" s="45"/>
      <c r="D920" s="45"/>
      <c r="E920" s="258"/>
      <c r="F920" s="45"/>
      <c r="G920" s="474"/>
      <c r="H920" s="475"/>
      <c r="I920" s="373"/>
      <c r="J920" s="45"/>
      <c r="K920" s="45"/>
    </row>
    <row r="921">
      <c r="A921" s="45"/>
      <c r="B921" s="45"/>
      <c r="C921" s="45"/>
      <c r="D921" s="45"/>
      <c r="E921" s="258"/>
      <c r="F921" s="45"/>
      <c r="G921" s="474"/>
      <c r="H921" s="475"/>
      <c r="I921" s="373"/>
      <c r="J921" s="45"/>
      <c r="K921" s="45"/>
    </row>
    <row r="922">
      <c r="A922" s="45"/>
      <c r="B922" s="45"/>
      <c r="C922" s="45"/>
      <c r="D922" s="45"/>
      <c r="E922" s="258"/>
      <c r="F922" s="45"/>
      <c r="G922" s="474"/>
      <c r="H922" s="475"/>
      <c r="I922" s="373"/>
      <c r="J922" s="45"/>
      <c r="K922" s="45"/>
    </row>
    <row r="923">
      <c r="A923" s="45"/>
      <c r="B923" s="45"/>
      <c r="C923" s="45"/>
      <c r="D923" s="45"/>
      <c r="E923" s="258"/>
      <c r="F923" s="45"/>
      <c r="G923" s="474"/>
      <c r="H923" s="475"/>
      <c r="I923" s="373"/>
      <c r="J923" s="45"/>
      <c r="K923" s="45"/>
    </row>
    <row r="924">
      <c r="A924" s="45"/>
      <c r="B924" s="45"/>
      <c r="C924" s="45"/>
      <c r="D924" s="45"/>
      <c r="E924" s="258"/>
      <c r="F924" s="45"/>
      <c r="G924" s="474"/>
      <c r="H924" s="475"/>
      <c r="I924" s="373"/>
      <c r="J924" s="45"/>
      <c r="K924" s="45"/>
    </row>
    <row r="925">
      <c r="A925" s="45"/>
      <c r="B925" s="45"/>
      <c r="C925" s="45"/>
      <c r="D925" s="45"/>
      <c r="E925" s="258"/>
      <c r="F925" s="45"/>
      <c r="G925" s="474"/>
      <c r="H925" s="475"/>
      <c r="I925" s="373"/>
      <c r="J925" s="45"/>
      <c r="K925" s="45"/>
    </row>
    <row r="926">
      <c r="A926" s="45"/>
      <c r="B926" s="45"/>
      <c r="C926" s="45"/>
      <c r="D926" s="45"/>
      <c r="E926" s="258"/>
      <c r="F926" s="45"/>
      <c r="G926" s="474"/>
      <c r="H926" s="475"/>
      <c r="I926" s="373"/>
      <c r="J926" s="45"/>
      <c r="K926" s="45"/>
    </row>
    <row r="927">
      <c r="A927" s="45"/>
      <c r="B927" s="45"/>
      <c r="C927" s="45"/>
      <c r="D927" s="45"/>
      <c r="E927" s="258"/>
      <c r="F927" s="45"/>
      <c r="G927" s="474"/>
      <c r="H927" s="475"/>
      <c r="I927" s="373"/>
      <c r="J927" s="45"/>
      <c r="K927" s="45"/>
    </row>
    <row r="928">
      <c r="A928" s="45"/>
      <c r="B928" s="45"/>
      <c r="C928" s="45"/>
      <c r="D928" s="45"/>
      <c r="E928" s="258"/>
      <c r="F928" s="45"/>
      <c r="G928" s="474"/>
      <c r="H928" s="475"/>
      <c r="I928" s="373"/>
      <c r="J928" s="45"/>
      <c r="K928" s="45"/>
    </row>
    <row r="929">
      <c r="A929" s="45"/>
      <c r="B929" s="45"/>
      <c r="C929" s="45"/>
      <c r="D929" s="45"/>
      <c r="E929" s="258"/>
      <c r="F929" s="45"/>
      <c r="G929" s="474"/>
      <c r="H929" s="475"/>
      <c r="I929" s="373"/>
      <c r="J929" s="45"/>
      <c r="K929" s="45"/>
    </row>
    <row r="930">
      <c r="A930" s="45"/>
      <c r="B930" s="45"/>
      <c r="C930" s="45"/>
      <c r="D930" s="45"/>
      <c r="E930" s="258"/>
      <c r="F930" s="45"/>
      <c r="G930" s="474"/>
      <c r="H930" s="475"/>
      <c r="I930" s="373"/>
      <c r="J930" s="45"/>
      <c r="K930" s="45"/>
    </row>
    <row r="931">
      <c r="A931" s="45"/>
      <c r="B931" s="45"/>
      <c r="C931" s="45"/>
      <c r="D931" s="45"/>
      <c r="E931" s="258"/>
      <c r="F931" s="45"/>
      <c r="G931" s="474"/>
      <c r="H931" s="475"/>
      <c r="I931" s="373"/>
      <c r="J931" s="45"/>
      <c r="K931" s="45"/>
    </row>
    <row r="932">
      <c r="A932" s="45"/>
      <c r="B932" s="45"/>
      <c r="C932" s="45"/>
      <c r="D932" s="45"/>
      <c r="E932" s="258"/>
      <c r="F932" s="45"/>
      <c r="G932" s="474"/>
      <c r="H932" s="475"/>
      <c r="I932" s="373"/>
      <c r="J932" s="45"/>
      <c r="K932" s="45"/>
    </row>
    <row r="933">
      <c r="A933" s="45"/>
      <c r="B933" s="45"/>
      <c r="C933" s="45"/>
      <c r="D933" s="45"/>
      <c r="E933" s="258"/>
      <c r="F933" s="45"/>
      <c r="G933" s="474"/>
      <c r="H933" s="475"/>
      <c r="I933" s="373"/>
      <c r="J933" s="45"/>
      <c r="K933" s="45"/>
    </row>
    <row r="934">
      <c r="A934" s="45"/>
      <c r="B934" s="45"/>
      <c r="C934" s="45"/>
      <c r="D934" s="45"/>
      <c r="E934" s="258"/>
      <c r="F934" s="45"/>
      <c r="G934" s="474"/>
      <c r="H934" s="475"/>
      <c r="I934" s="373"/>
      <c r="J934" s="45"/>
      <c r="K934" s="45"/>
    </row>
    <row r="935">
      <c r="A935" s="45"/>
      <c r="B935" s="45"/>
      <c r="C935" s="45"/>
      <c r="D935" s="45"/>
      <c r="E935" s="258"/>
      <c r="F935" s="45"/>
      <c r="G935" s="474"/>
      <c r="H935" s="475"/>
      <c r="I935" s="373"/>
      <c r="J935" s="45"/>
      <c r="K935" s="45"/>
    </row>
    <row r="936">
      <c r="A936" s="45"/>
      <c r="B936" s="45"/>
      <c r="C936" s="45"/>
      <c r="D936" s="45"/>
      <c r="E936" s="258"/>
      <c r="F936" s="45"/>
      <c r="G936" s="474"/>
      <c r="H936" s="475"/>
      <c r="I936" s="373"/>
      <c r="J936" s="45"/>
      <c r="K936" s="45"/>
    </row>
    <row r="937">
      <c r="A937" s="45"/>
      <c r="B937" s="45"/>
      <c r="C937" s="45"/>
      <c r="D937" s="45"/>
      <c r="E937" s="258"/>
      <c r="F937" s="45"/>
      <c r="G937" s="474"/>
      <c r="H937" s="475"/>
      <c r="I937" s="373"/>
      <c r="J937" s="45"/>
      <c r="K937" s="45"/>
    </row>
    <row r="938">
      <c r="A938" s="45"/>
      <c r="B938" s="45"/>
      <c r="C938" s="45"/>
      <c r="D938" s="45"/>
      <c r="E938" s="258"/>
      <c r="F938" s="45"/>
      <c r="G938" s="474"/>
      <c r="H938" s="475"/>
      <c r="I938" s="373"/>
      <c r="J938" s="45"/>
      <c r="K938" s="45"/>
    </row>
    <row r="939">
      <c r="A939" s="45"/>
      <c r="B939" s="45"/>
      <c r="C939" s="45"/>
      <c r="D939" s="45"/>
      <c r="E939" s="258"/>
      <c r="F939" s="45"/>
      <c r="G939" s="474"/>
      <c r="H939" s="475"/>
      <c r="I939" s="373"/>
      <c r="J939" s="45"/>
      <c r="K939" s="45"/>
    </row>
    <row r="940">
      <c r="A940" s="45"/>
      <c r="B940" s="45"/>
      <c r="C940" s="45"/>
      <c r="D940" s="45"/>
      <c r="E940" s="258"/>
      <c r="F940" s="45"/>
      <c r="G940" s="474"/>
      <c r="H940" s="475"/>
      <c r="I940" s="373"/>
      <c r="J940" s="45"/>
      <c r="K940" s="45"/>
    </row>
    <row r="941">
      <c r="A941" s="45"/>
      <c r="B941" s="45"/>
      <c r="C941" s="45"/>
      <c r="D941" s="45"/>
      <c r="E941" s="258"/>
      <c r="F941" s="45"/>
      <c r="G941" s="474"/>
      <c r="H941" s="475"/>
      <c r="I941" s="373"/>
      <c r="J941" s="45"/>
      <c r="K941" s="45"/>
    </row>
    <row r="942">
      <c r="A942" s="45"/>
      <c r="B942" s="45"/>
      <c r="C942" s="45"/>
      <c r="D942" s="45"/>
      <c r="E942" s="258"/>
      <c r="F942" s="45"/>
      <c r="G942" s="474"/>
      <c r="H942" s="475"/>
      <c r="I942" s="373"/>
      <c r="J942" s="45"/>
      <c r="K942" s="45"/>
    </row>
    <row r="943">
      <c r="A943" s="45"/>
      <c r="B943" s="45"/>
      <c r="C943" s="45"/>
      <c r="D943" s="45"/>
      <c r="E943" s="258"/>
      <c r="F943" s="45"/>
      <c r="G943" s="474"/>
      <c r="H943" s="475"/>
      <c r="I943" s="373"/>
      <c r="J943" s="45"/>
      <c r="K943" s="45"/>
    </row>
    <row r="944">
      <c r="A944" s="45"/>
      <c r="B944" s="45"/>
      <c r="C944" s="45"/>
      <c r="D944" s="45"/>
      <c r="E944" s="258"/>
      <c r="F944" s="45"/>
      <c r="G944" s="474"/>
      <c r="H944" s="475"/>
      <c r="I944" s="373"/>
      <c r="J944" s="45"/>
      <c r="K944" s="45"/>
    </row>
    <row r="945">
      <c r="A945" s="45"/>
      <c r="B945" s="45"/>
      <c r="C945" s="45"/>
      <c r="D945" s="45"/>
      <c r="E945" s="258"/>
      <c r="F945" s="45"/>
      <c r="G945" s="474"/>
      <c r="H945" s="475"/>
      <c r="I945" s="373"/>
      <c r="J945" s="45"/>
      <c r="K945" s="45"/>
    </row>
    <row r="946">
      <c r="A946" s="45"/>
      <c r="B946" s="45"/>
      <c r="C946" s="45"/>
      <c r="D946" s="45"/>
      <c r="E946" s="258"/>
      <c r="F946" s="45"/>
      <c r="G946" s="474"/>
      <c r="H946" s="475"/>
      <c r="I946" s="373"/>
      <c r="J946" s="45"/>
      <c r="K946" s="45"/>
    </row>
    <row r="947">
      <c r="A947" s="45"/>
      <c r="B947" s="45"/>
      <c r="C947" s="45"/>
      <c r="D947" s="45"/>
      <c r="E947" s="258"/>
      <c r="F947" s="45"/>
      <c r="G947" s="474"/>
      <c r="H947" s="475"/>
      <c r="I947" s="373"/>
      <c r="J947" s="45"/>
      <c r="K947" s="45"/>
    </row>
    <row r="948">
      <c r="A948" s="45"/>
      <c r="B948" s="45"/>
      <c r="C948" s="45"/>
      <c r="D948" s="45"/>
      <c r="E948" s="258"/>
      <c r="F948" s="45"/>
      <c r="G948" s="474"/>
      <c r="H948" s="475"/>
      <c r="I948" s="373"/>
      <c r="J948" s="45"/>
      <c r="K948" s="45"/>
    </row>
    <row r="949">
      <c r="A949" s="45"/>
      <c r="B949" s="45"/>
      <c r="C949" s="45"/>
      <c r="D949" s="45"/>
      <c r="E949" s="258"/>
      <c r="F949" s="45"/>
      <c r="G949" s="474"/>
      <c r="H949" s="475"/>
      <c r="I949" s="373"/>
      <c r="J949" s="45"/>
      <c r="K949" s="45"/>
    </row>
    <row r="950">
      <c r="A950" s="45"/>
      <c r="B950" s="45"/>
      <c r="C950" s="45"/>
      <c r="D950" s="45"/>
      <c r="E950" s="258"/>
      <c r="F950" s="45"/>
      <c r="G950" s="474"/>
      <c r="H950" s="475"/>
      <c r="I950" s="373"/>
      <c r="J950" s="45"/>
      <c r="K950" s="45"/>
    </row>
    <row r="951">
      <c r="A951" s="45"/>
      <c r="B951" s="45"/>
      <c r="C951" s="45"/>
      <c r="D951" s="45"/>
      <c r="E951" s="258"/>
      <c r="F951" s="45"/>
      <c r="G951" s="474"/>
      <c r="H951" s="475"/>
      <c r="I951" s="373"/>
      <c r="J951" s="45"/>
      <c r="K951" s="45"/>
    </row>
    <row r="952">
      <c r="A952" s="45"/>
      <c r="B952" s="45"/>
      <c r="C952" s="45"/>
      <c r="D952" s="45"/>
      <c r="E952" s="258"/>
      <c r="F952" s="45"/>
      <c r="G952" s="474"/>
      <c r="H952" s="475"/>
      <c r="I952" s="373"/>
      <c r="J952" s="45"/>
      <c r="K952" s="45"/>
    </row>
    <row r="953">
      <c r="A953" s="45"/>
      <c r="B953" s="45"/>
      <c r="C953" s="45"/>
      <c r="D953" s="45"/>
      <c r="E953" s="258"/>
      <c r="F953" s="45"/>
      <c r="G953" s="474"/>
      <c r="H953" s="475"/>
      <c r="I953" s="373"/>
      <c r="J953" s="45"/>
      <c r="K953" s="45"/>
    </row>
    <row r="954">
      <c r="A954" s="45"/>
      <c r="B954" s="45"/>
      <c r="C954" s="45"/>
      <c r="D954" s="45"/>
      <c r="E954" s="258"/>
      <c r="F954" s="45"/>
      <c r="G954" s="474"/>
      <c r="H954" s="475"/>
      <c r="I954" s="373"/>
      <c r="J954" s="45"/>
      <c r="K954" s="45"/>
    </row>
    <row r="955">
      <c r="A955" s="45"/>
      <c r="B955" s="45"/>
      <c r="C955" s="45"/>
      <c r="D955" s="45"/>
      <c r="E955" s="258"/>
      <c r="F955" s="45"/>
      <c r="G955" s="474"/>
      <c r="H955" s="475"/>
      <c r="I955" s="373"/>
      <c r="J955" s="45"/>
      <c r="K955" s="45"/>
    </row>
    <row r="956">
      <c r="A956" s="45"/>
      <c r="B956" s="45"/>
      <c r="C956" s="45"/>
      <c r="D956" s="45"/>
      <c r="E956" s="258"/>
      <c r="F956" s="45"/>
      <c r="G956" s="474"/>
      <c r="H956" s="475"/>
      <c r="I956" s="373"/>
      <c r="J956" s="45"/>
      <c r="K956" s="45"/>
    </row>
    <row r="957">
      <c r="A957" s="45"/>
      <c r="B957" s="45"/>
      <c r="C957" s="45"/>
      <c r="D957" s="45"/>
      <c r="E957" s="258"/>
      <c r="F957" s="45"/>
      <c r="G957" s="474"/>
      <c r="H957" s="475"/>
      <c r="I957" s="373"/>
      <c r="J957" s="45"/>
      <c r="K957" s="45"/>
    </row>
    <row r="958">
      <c r="A958" s="45"/>
      <c r="B958" s="45"/>
      <c r="C958" s="45"/>
      <c r="D958" s="45"/>
      <c r="E958" s="258"/>
      <c r="F958" s="45"/>
      <c r="G958" s="474"/>
      <c r="H958" s="475"/>
      <c r="I958" s="373"/>
      <c r="J958" s="45"/>
      <c r="K958" s="45"/>
    </row>
    <row r="959">
      <c r="A959" s="45"/>
      <c r="B959" s="45"/>
      <c r="C959" s="45"/>
      <c r="D959" s="45"/>
      <c r="E959" s="258"/>
      <c r="F959" s="45"/>
      <c r="G959" s="474"/>
      <c r="H959" s="475"/>
      <c r="I959" s="373"/>
      <c r="J959" s="45"/>
      <c r="K959" s="45"/>
    </row>
    <row r="960">
      <c r="A960" s="45"/>
      <c r="B960" s="45"/>
      <c r="C960" s="45"/>
      <c r="D960" s="45"/>
      <c r="E960" s="258"/>
      <c r="F960" s="45"/>
      <c r="G960" s="474"/>
      <c r="H960" s="475"/>
      <c r="I960" s="373"/>
      <c r="J960" s="45"/>
      <c r="K960" s="45"/>
    </row>
    <row r="961">
      <c r="A961" s="45"/>
      <c r="B961" s="45"/>
      <c r="C961" s="45"/>
      <c r="D961" s="45"/>
      <c r="E961" s="258"/>
      <c r="F961" s="45"/>
      <c r="G961" s="474"/>
      <c r="H961" s="475"/>
      <c r="I961" s="373"/>
      <c r="J961" s="45"/>
      <c r="K961" s="45"/>
    </row>
    <row r="962">
      <c r="A962" s="45"/>
      <c r="B962" s="45"/>
      <c r="C962" s="45"/>
      <c r="D962" s="45"/>
      <c r="E962" s="258"/>
      <c r="F962" s="45"/>
      <c r="G962" s="474"/>
      <c r="H962" s="475"/>
      <c r="I962" s="373"/>
      <c r="J962" s="45"/>
      <c r="K962" s="45"/>
    </row>
    <row r="963">
      <c r="A963" s="45"/>
      <c r="B963" s="45"/>
      <c r="C963" s="45"/>
      <c r="D963" s="45"/>
      <c r="E963" s="258"/>
      <c r="F963" s="45"/>
      <c r="G963" s="474"/>
      <c r="H963" s="475"/>
      <c r="I963" s="373"/>
      <c r="J963" s="45"/>
      <c r="K963" s="45"/>
    </row>
    <row r="964">
      <c r="A964" s="45"/>
      <c r="B964" s="45"/>
      <c r="C964" s="45"/>
      <c r="D964" s="45"/>
      <c r="E964" s="258"/>
      <c r="F964" s="45"/>
      <c r="G964" s="474"/>
      <c r="H964" s="475"/>
      <c r="I964" s="373"/>
      <c r="J964" s="45"/>
      <c r="K964" s="45"/>
    </row>
    <row r="965">
      <c r="A965" s="45"/>
      <c r="B965" s="45"/>
      <c r="C965" s="45"/>
      <c r="D965" s="45"/>
      <c r="E965" s="258"/>
      <c r="F965" s="45"/>
      <c r="G965" s="474"/>
      <c r="H965" s="475"/>
      <c r="I965" s="373"/>
      <c r="J965" s="45"/>
      <c r="K965" s="45"/>
    </row>
    <row r="966">
      <c r="A966" s="45"/>
      <c r="B966" s="45"/>
      <c r="C966" s="45"/>
      <c r="D966" s="45"/>
      <c r="E966" s="258"/>
      <c r="F966" s="45"/>
      <c r="G966" s="474"/>
      <c r="H966" s="475"/>
      <c r="I966" s="373"/>
      <c r="J966" s="45"/>
      <c r="K966" s="45"/>
    </row>
    <row r="967">
      <c r="A967" s="45"/>
      <c r="B967" s="45"/>
      <c r="C967" s="45"/>
      <c r="D967" s="45"/>
      <c r="E967" s="258"/>
      <c r="F967" s="45"/>
      <c r="G967" s="474"/>
      <c r="H967" s="475"/>
      <c r="I967" s="373"/>
      <c r="J967" s="45"/>
      <c r="K967" s="45"/>
    </row>
    <row r="968">
      <c r="A968" s="45"/>
      <c r="B968" s="45"/>
      <c r="C968" s="45"/>
      <c r="D968" s="45"/>
      <c r="E968" s="258"/>
      <c r="F968" s="45"/>
      <c r="G968" s="474"/>
      <c r="H968" s="475"/>
      <c r="I968" s="373"/>
      <c r="J968" s="45"/>
      <c r="K968" s="45"/>
    </row>
    <row r="969">
      <c r="A969" s="45"/>
      <c r="B969" s="45"/>
      <c r="C969" s="45"/>
      <c r="D969" s="45"/>
      <c r="E969" s="258"/>
      <c r="F969" s="45"/>
      <c r="G969" s="474"/>
      <c r="H969" s="475"/>
      <c r="I969" s="373"/>
      <c r="J969" s="45"/>
      <c r="K969" s="45"/>
    </row>
    <row r="970">
      <c r="A970" s="45"/>
      <c r="B970" s="45"/>
      <c r="C970" s="45"/>
      <c r="D970" s="45"/>
      <c r="E970" s="258"/>
      <c r="F970" s="45"/>
      <c r="G970" s="474"/>
      <c r="H970" s="475"/>
      <c r="I970" s="373"/>
      <c r="J970" s="45"/>
      <c r="K970" s="45"/>
    </row>
    <row r="971">
      <c r="A971" s="45"/>
      <c r="B971" s="45"/>
      <c r="C971" s="45"/>
      <c r="D971" s="45"/>
      <c r="E971" s="258"/>
      <c r="F971" s="45"/>
      <c r="G971" s="474"/>
      <c r="H971" s="475"/>
      <c r="I971" s="373"/>
      <c r="J971" s="45"/>
      <c r="K971" s="45"/>
    </row>
    <row r="972">
      <c r="A972" s="45"/>
      <c r="B972" s="45"/>
      <c r="C972" s="45"/>
      <c r="D972" s="45"/>
      <c r="E972" s="258"/>
      <c r="F972" s="45"/>
      <c r="G972" s="474"/>
      <c r="H972" s="475"/>
      <c r="I972" s="373"/>
      <c r="J972" s="45"/>
      <c r="K972" s="45"/>
    </row>
    <row r="973">
      <c r="A973" s="45"/>
      <c r="B973" s="45"/>
      <c r="C973" s="45"/>
      <c r="D973" s="45"/>
      <c r="E973" s="258"/>
      <c r="F973" s="45"/>
      <c r="G973" s="474"/>
      <c r="H973" s="475"/>
      <c r="I973" s="373"/>
      <c r="J973" s="45"/>
      <c r="K973" s="45"/>
    </row>
    <row r="974">
      <c r="A974" s="45"/>
      <c r="B974" s="45"/>
      <c r="C974" s="45"/>
      <c r="D974" s="45"/>
      <c r="E974" s="258"/>
      <c r="F974" s="45"/>
      <c r="G974" s="474"/>
      <c r="H974" s="475"/>
      <c r="I974" s="373"/>
      <c r="J974" s="45"/>
      <c r="K974" s="45"/>
    </row>
    <row r="975">
      <c r="A975" s="45"/>
      <c r="B975" s="45"/>
      <c r="C975" s="45"/>
      <c r="D975" s="45"/>
      <c r="E975" s="258"/>
      <c r="F975" s="45"/>
      <c r="G975" s="474"/>
      <c r="H975" s="475"/>
      <c r="I975" s="373"/>
      <c r="J975" s="45"/>
      <c r="K975" s="45"/>
    </row>
    <row r="976">
      <c r="A976" s="45"/>
      <c r="B976" s="45"/>
      <c r="C976" s="45"/>
      <c r="D976" s="45"/>
      <c r="E976" s="258"/>
      <c r="F976" s="45"/>
      <c r="G976" s="474"/>
      <c r="H976" s="475"/>
      <c r="I976" s="373"/>
      <c r="J976" s="45"/>
      <c r="K976" s="45"/>
    </row>
    <row r="977">
      <c r="A977" s="45"/>
      <c r="B977" s="45"/>
      <c r="C977" s="45"/>
      <c r="D977" s="45"/>
      <c r="E977" s="258"/>
      <c r="F977" s="45"/>
      <c r="G977" s="474"/>
      <c r="H977" s="475"/>
      <c r="I977" s="373"/>
      <c r="J977" s="45"/>
      <c r="K977" s="45"/>
    </row>
    <row r="978">
      <c r="A978" s="45"/>
      <c r="B978" s="45"/>
      <c r="C978" s="45"/>
      <c r="D978" s="45"/>
      <c r="E978" s="258"/>
      <c r="F978" s="45"/>
      <c r="G978" s="474"/>
      <c r="H978" s="475"/>
      <c r="I978" s="373"/>
      <c r="J978" s="45"/>
      <c r="K978" s="45"/>
    </row>
    <row r="979">
      <c r="A979" s="45"/>
      <c r="B979" s="45"/>
      <c r="C979" s="45"/>
      <c r="D979" s="45"/>
      <c r="E979" s="258"/>
      <c r="F979" s="45"/>
      <c r="G979" s="474"/>
      <c r="H979" s="475"/>
      <c r="I979" s="373"/>
      <c r="J979" s="45"/>
      <c r="K979" s="45"/>
    </row>
    <row r="980">
      <c r="A980" s="45"/>
      <c r="B980" s="45"/>
      <c r="C980" s="45"/>
      <c r="D980" s="45"/>
      <c r="E980" s="258"/>
      <c r="F980" s="45"/>
      <c r="G980" s="474"/>
      <c r="H980" s="475"/>
      <c r="I980" s="373"/>
      <c r="J980" s="45"/>
      <c r="K980" s="45"/>
    </row>
    <row r="981">
      <c r="A981" s="45"/>
      <c r="B981" s="45"/>
      <c r="C981" s="45"/>
      <c r="D981" s="45"/>
      <c r="E981" s="258"/>
      <c r="F981" s="45"/>
      <c r="G981" s="474"/>
      <c r="H981" s="475"/>
      <c r="I981" s="373"/>
      <c r="J981" s="45"/>
      <c r="K981" s="45"/>
    </row>
    <row r="982">
      <c r="A982" s="45"/>
      <c r="B982" s="45"/>
      <c r="C982" s="45"/>
      <c r="D982" s="45"/>
      <c r="E982" s="258"/>
      <c r="F982" s="45"/>
      <c r="G982" s="474"/>
      <c r="H982" s="475"/>
      <c r="I982" s="373"/>
      <c r="J982" s="45"/>
      <c r="K982" s="45"/>
    </row>
    <row r="983">
      <c r="A983" s="45"/>
      <c r="B983" s="45"/>
      <c r="C983" s="45"/>
      <c r="D983" s="45"/>
      <c r="E983" s="258"/>
      <c r="F983" s="45"/>
      <c r="G983" s="474"/>
      <c r="H983" s="475"/>
      <c r="I983" s="373"/>
      <c r="J983" s="45"/>
      <c r="K983" s="45"/>
    </row>
    <row r="984">
      <c r="A984" s="45"/>
      <c r="B984" s="45"/>
      <c r="C984" s="45"/>
      <c r="D984" s="45"/>
      <c r="E984" s="258"/>
      <c r="F984" s="45"/>
      <c r="G984" s="474"/>
      <c r="H984" s="475"/>
      <c r="I984" s="373"/>
      <c r="J984" s="45"/>
      <c r="K984" s="45"/>
    </row>
    <row r="985">
      <c r="A985" s="45"/>
      <c r="B985" s="45"/>
      <c r="C985" s="45"/>
      <c r="D985" s="45"/>
      <c r="E985" s="258"/>
      <c r="F985" s="45"/>
      <c r="G985" s="474"/>
      <c r="H985" s="475"/>
      <c r="I985" s="373"/>
      <c r="J985" s="45"/>
      <c r="K985" s="45"/>
    </row>
    <row r="986">
      <c r="A986" s="45"/>
      <c r="B986" s="45"/>
      <c r="C986" s="45"/>
      <c r="D986" s="45"/>
      <c r="E986" s="258"/>
      <c r="F986" s="45"/>
      <c r="G986" s="474"/>
      <c r="H986" s="475"/>
      <c r="I986" s="373"/>
      <c r="J986" s="45"/>
      <c r="K986" s="45"/>
    </row>
    <row r="987">
      <c r="A987" s="45"/>
      <c r="B987" s="45"/>
      <c r="C987" s="45"/>
      <c r="D987" s="45"/>
      <c r="E987" s="258"/>
      <c r="F987" s="45"/>
      <c r="G987" s="474"/>
      <c r="H987" s="475"/>
      <c r="I987" s="373"/>
      <c r="J987" s="45"/>
      <c r="K987" s="45"/>
    </row>
    <row r="988">
      <c r="A988" s="45"/>
      <c r="B988" s="45"/>
      <c r="C988" s="45"/>
      <c r="D988" s="45"/>
      <c r="E988" s="258"/>
      <c r="F988" s="45"/>
      <c r="G988" s="474"/>
      <c r="H988" s="475"/>
      <c r="I988" s="373"/>
      <c r="J988" s="45"/>
      <c r="K988" s="45"/>
    </row>
    <row r="989">
      <c r="A989" s="45"/>
      <c r="B989" s="45"/>
      <c r="C989" s="45"/>
      <c r="D989" s="45"/>
      <c r="E989" s="258"/>
      <c r="F989" s="45"/>
      <c r="G989" s="474"/>
      <c r="H989" s="475"/>
      <c r="I989" s="373"/>
      <c r="J989" s="45"/>
      <c r="K989" s="45"/>
    </row>
    <row r="990">
      <c r="A990" s="45"/>
      <c r="B990" s="45"/>
      <c r="C990" s="45"/>
      <c r="D990" s="45"/>
      <c r="E990" s="258"/>
      <c r="F990" s="45"/>
      <c r="G990" s="474"/>
      <c r="H990" s="475"/>
      <c r="I990" s="373"/>
      <c r="J990" s="45"/>
      <c r="K990" s="45"/>
    </row>
    <row r="991">
      <c r="A991" s="45"/>
      <c r="B991" s="45"/>
      <c r="C991" s="45"/>
      <c r="D991" s="45"/>
      <c r="E991" s="258"/>
      <c r="F991" s="45"/>
      <c r="G991" s="474"/>
      <c r="H991" s="475"/>
      <c r="I991" s="373"/>
      <c r="J991" s="45"/>
      <c r="K991" s="45"/>
    </row>
    <row r="992">
      <c r="A992" s="45"/>
      <c r="B992" s="45"/>
      <c r="C992" s="45"/>
      <c r="D992" s="45"/>
      <c r="E992" s="258"/>
      <c r="F992" s="45"/>
      <c r="G992" s="474"/>
      <c r="H992" s="475"/>
      <c r="I992" s="373"/>
      <c r="J992" s="45"/>
      <c r="K992" s="45"/>
    </row>
    <row r="993">
      <c r="A993" s="45"/>
      <c r="B993" s="45"/>
      <c r="C993" s="45"/>
      <c r="D993" s="45"/>
      <c r="E993" s="258"/>
      <c r="F993" s="45"/>
      <c r="G993" s="474"/>
      <c r="H993" s="475"/>
      <c r="I993" s="373"/>
      <c r="J993" s="45"/>
      <c r="K993" s="45"/>
    </row>
    <row r="994">
      <c r="A994" s="45"/>
      <c r="B994" s="45"/>
      <c r="C994" s="45"/>
      <c r="D994" s="45"/>
      <c r="E994" s="258"/>
      <c r="F994" s="45"/>
      <c r="G994" s="474"/>
      <c r="H994" s="475"/>
      <c r="I994" s="373"/>
      <c r="J994" s="45"/>
      <c r="K994" s="45"/>
    </row>
    <row r="995">
      <c r="A995" s="45"/>
      <c r="B995" s="45"/>
      <c r="C995" s="45"/>
      <c r="D995" s="45"/>
      <c r="E995" s="258"/>
      <c r="F995" s="45"/>
      <c r="G995" s="474"/>
      <c r="H995" s="475"/>
      <c r="I995" s="373"/>
      <c r="J995" s="45"/>
      <c r="K995" s="45"/>
    </row>
    <row r="996">
      <c r="A996" s="45"/>
      <c r="B996" s="45"/>
      <c r="C996" s="45"/>
      <c r="D996" s="45"/>
      <c r="E996" s="258"/>
      <c r="F996" s="45"/>
      <c r="G996" s="474"/>
      <c r="H996" s="475"/>
      <c r="I996" s="373"/>
      <c r="J996" s="45"/>
      <c r="K996" s="45"/>
    </row>
    <row r="997">
      <c r="A997" s="45"/>
      <c r="B997" s="45"/>
      <c r="C997" s="45"/>
      <c r="D997" s="45"/>
      <c r="E997" s="258"/>
      <c r="F997" s="45"/>
      <c r="G997" s="474"/>
      <c r="H997" s="475"/>
      <c r="I997" s="373"/>
      <c r="J997" s="45"/>
      <c r="K997" s="45"/>
    </row>
    <row r="998">
      <c r="A998" s="45"/>
      <c r="B998" s="45"/>
      <c r="C998" s="45"/>
      <c r="D998" s="45"/>
      <c r="E998" s="258"/>
      <c r="F998" s="45"/>
      <c r="G998" s="474"/>
      <c r="H998" s="475"/>
      <c r="I998" s="373"/>
      <c r="J998" s="45"/>
      <c r="K998" s="45"/>
    </row>
    <row r="999">
      <c r="A999" s="45"/>
      <c r="B999" s="45"/>
      <c r="C999" s="45"/>
      <c r="D999" s="45"/>
      <c r="E999" s="258"/>
      <c r="F999" s="45"/>
      <c r="G999" s="474"/>
      <c r="H999" s="475"/>
      <c r="I999" s="373"/>
      <c r="J999" s="45"/>
      <c r="K999" s="45"/>
    </row>
    <row r="1000">
      <c r="A1000" s="45"/>
      <c r="B1000" s="45"/>
      <c r="C1000" s="45"/>
      <c r="D1000" s="45"/>
      <c r="E1000" s="258"/>
      <c r="F1000" s="45"/>
      <c r="G1000" s="474"/>
      <c r="H1000" s="475"/>
      <c r="I1000" s="373"/>
      <c r="J1000" s="45"/>
      <c r="K1000" s="45"/>
    </row>
    <row r="1001">
      <c r="A1001" s="45"/>
      <c r="B1001" s="45"/>
      <c r="C1001" s="45"/>
      <c r="D1001" s="45"/>
      <c r="E1001" s="258"/>
      <c r="F1001" s="45"/>
      <c r="G1001" s="474"/>
      <c r="H1001" s="475"/>
      <c r="I1001" s="373"/>
      <c r="J1001" s="45"/>
      <c r="K1001" s="45"/>
    </row>
    <row r="1002">
      <c r="A1002" s="45"/>
      <c r="B1002" s="45"/>
      <c r="C1002" s="45"/>
      <c r="D1002" s="45"/>
      <c r="E1002" s="258"/>
      <c r="F1002" s="45"/>
      <c r="G1002" s="474"/>
      <c r="H1002" s="475"/>
      <c r="I1002" s="373"/>
      <c r="J1002" s="45"/>
      <c r="K1002" s="45"/>
    </row>
    <row r="1003">
      <c r="A1003" s="45"/>
      <c r="B1003" s="45"/>
      <c r="C1003" s="45"/>
      <c r="D1003" s="45"/>
      <c r="E1003" s="258"/>
      <c r="F1003" s="45"/>
      <c r="G1003" s="474"/>
      <c r="H1003" s="475"/>
      <c r="I1003" s="373"/>
      <c r="J1003" s="45"/>
      <c r="K1003" s="45"/>
    </row>
    <row r="1004">
      <c r="A1004" s="45"/>
      <c r="B1004" s="45"/>
      <c r="C1004" s="45"/>
      <c r="D1004" s="45"/>
      <c r="E1004" s="258"/>
      <c r="F1004" s="45"/>
      <c r="G1004" s="474"/>
      <c r="H1004" s="475"/>
      <c r="I1004" s="373"/>
      <c r="J1004" s="45"/>
      <c r="K1004" s="45"/>
    </row>
    <row r="1005">
      <c r="A1005" s="45"/>
      <c r="B1005" s="45"/>
      <c r="C1005" s="45"/>
      <c r="D1005" s="45"/>
      <c r="E1005" s="258"/>
      <c r="F1005" s="45"/>
      <c r="G1005" s="474"/>
      <c r="H1005" s="475"/>
      <c r="I1005" s="373"/>
      <c r="J1005" s="45"/>
      <c r="K1005" s="45"/>
    </row>
    <row r="1006">
      <c r="A1006" s="45"/>
      <c r="B1006" s="45"/>
      <c r="C1006" s="45"/>
      <c r="D1006" s="45"/>
      <c r="E1006" s="258"/>
      <c r="F1006" s="45"/>
      <c r="G1006" s="474"/>
      <c r="H1006" s="475"/>
      <c r="I1006" s="373"/>
      <c r="J1006" s="45"/>
      <c r="K1006" s="45"/>
    </row>
    <row r="1007">
      <c r="A1007" s="45"/>
      <c r="B1007" s="45"/>
      <c r="C1007" s="45"/>
      <c r="D1007" s="45"/>
      <c r="E1007" s="258"/>
      <c r="F1007" s="45"/>
      <c r="G1007" s="474"/>
      <c r="H1007" s="475"/>
      <c r="I1007" s="373"/>
      <c r="J1007" s="45"/>
      <c r="K1007" s="45"/>
    </row>
    <row r="1008">
      <c r="A1008" s="45"/>
      <c r="B1008" s="45"/>
      <c r="C1008" s="45"/>
      <c r="D1008" s="45"/>
      <c r="E1008" s="258"/>
      <c r="F1008" s="45"/>
      <c r="G1008" s="474"/>
      <c r="H1008" s="475"/>
      <c r="I1008" s="373"/>
      <c r="J1008" s="45"/>
      <c r="K1008" s="45"/>
    </row>
    <row r="1009">
      <c r="A1009" s="45"/>
      <c r="B1009" s="45"/>
      <c r="C1009" s="45"/>
      <c r="D1009" s="45"/>
      <c r="E1009" s="258"/>
      <c r="F1009" s="45"/>
      <c r="G1009" s="474"/>
      <c r="H1009" s="475"/>
      <c r="I1009" s="373"/>
      <c r="J1009" s="45"/>
      <c r="K1009" s="45"/>
    </row>
    <row r="1010">
      <c r="A1010" s="45"/>
      <c r="B1010" s="45"/>
      <c r="C1010" s="45"/>
      <c r="D1010" s="45"/>
      <c r="E1010" s="258"/>
      <c r="F1010" s="45"/>
      <c r="G1010" s="474"/>
      <c r="H1010" s="475"/>
      <c r="I1010" s="373"/>
      <c r="J1010" s="45"/>
      <c r="K1010" s="45"/>
    </row>
    <row r="1011">
      <c r="A1011" s="45"/>
      <c r="B1011" s="45"/>
      <c r="C1011" s="45"/>
      <c r="D1011" s="45"/>
      <c r="E1011" s="258"/>
      <c r="F1011" s="45"/>
      <c r="G1011" s="474"/>
      <c r="H1011" s="475"/>
      <c r="I1011" s="373"/>
      <c r="J1011" s="45"/>
      <c r="K1011" s="45"/>
    </row>
    <row r="1012">
      <c r="A1012" s="45"/>
      <c r="B1012" s="45"/>
      <c r="C1012" s="45"/>
      <c r="D1012" s="45"/>
      <c r="E1012" s="258"/>
      <c r="F1012" s="45"/>
      <c r="G1012" s="474"/>
      <c r="H1012" s="475"/>
      <c r="I1012" s="373"/>
      <c r="J1012" s="45"/>
      <c r="K1012" s="45"/>
    </row>
    <row r="1013">
      <c r="A1013" s="45"/>
      <c r="B1013" s="45"/>
      <c r="C1013" s="45"/>
      <c r="D1013" s="45"/>
      <c r="E1013" s="258"/>
      <c r="F1013" s="45"/>
      <c r="G1013" s="474"/>
      <c r="H1013" s="475"/>
      <c r="I1013" s="373"/>
      <c r="J1013" s="45"/>
      <c r="K1013" s="45"/>
    </row>
    <row r="1014">
      <c r="A1014" s="45"/>
      <c r="B1014" s="45"/>
      <c r="C1014" s="45"/>
      <c r="D1014" s="45"/>
      <c r="E1014" s="258"/>
      <c r="F1014" s="45"/>
      <c r="G1014" s="474"/>
      <c r="H1014" s="475"/>
      <c r="I1014" s="373"/>
      <c r="J1014" s="45"/>
      <c r="K1014" s="45"/>
    </row>
    <row r="1015">
      <c r="A1015" s="45"/>
      <c r="B1015" s="45"/>
      <c r="C1015" s="45"/>
      <c r="D1015" s="45"/>
      <c r="E1015" s="258"/>
      <c r="F1015" s="45"/>
      <c r="G1015" s="474"/>
      <c r="H1015" s="475"/>
      <c r="I1015" s="373"/>
      <c r="J1015" s="45"/>
      <c r="K1015" s="45"/>
    </row>
    <row r="1016">
      <c r="A1016" s="45"/>
      <c r="B1016" s="45"/>
      <c r="C1016" s="45"/>
      <c r="D1016" s="45"/>
      <c r="E1016" s="258"/>
      <c r="F1016" s="45"/>
      <c r="G1016" s="474"/>
      <c r="H1016" s="475"/>
      <c r="I1016" s="373"/>
      <c r="J1016" s="45"/>
      <c r="K1016" s="45"/>
    </row>
    <row r="1017">
      <c r="A1017" s="45"/>
      <c r="B1017" s="45"/>
      <c r="C1017" s="45"/>
      <c r="D1017" s="45"/>
      <c r="E1017" s="258"/>
      <c r="F1017" s="45"/>
      <c r="G1017" s="474"/>
      <c r="H1017" s="475"/>
      <c r="I1017" s="373"/>
      <c r="J1017" s="45"/>
      <c r="K1017" s="45"/>
    </row>
    <row r="1018">
      <c r="A1018" s="45"/>
      <c r="B1018" s="45"/>
      <c r="C1018" s="45"/>
      <c r="D1018" s="45"/>
      <c r="E1018" s="258"/>
      <c r="F1018" s="45"/>
      <c r="G1018" s="474"/>
      <c r="H1018" s="475"/>
      <c r="I1018" s="373"/>
      <c r="J1018" s="45"/>
      <c r="K1018" s="45"/>
    </row>
    <row r="1019">
      <c r="A1019" s="45"/>
      <c r="B1019" s="45"/>
      <c r="C1019" s="45"/>
      <c r="D1019" s="45"/>
      <c r="E1019" s="258"/>
      <c r="F1019" s="45"/>
      <c r="G1019" s="474"/>
      <c r="H1019" s="475"/>
      <c r="I1019" s="373"/>
      <c r="J1019" s="45"/>
      <c r="K1019" s="45"/>
    </row>
    <row r="1020">
      <c r="A1020" s="45"/>
      <c r="B1020" s="45"/>
      <c r="C1020" s="45"/>
      <c r="D1020" s="45"/>
      <c r="E1020" s="258"/>
      <c r="F1020" s="45"/>
      <c r="G1020" s="474"/>
      <c r="H1020" s="475"/>
      <c r="I1020" s="373"/>
      <c r="J1020" s="45"/>
      <c r="K1020" s="45"/>
    </row>
    <row r="1021">
      <c r="A1021" s="45"/>
      <c r="B1021" s="45"/>
      <c r="C1021" s="45"/>
      <c r="D1021" s="45"/>
      <c r="E1021" s="258"/>
      <c r="F1021" s="45"/>
      <c r="G1021" s="474"/>
      <c r="H1021" s="475"/>
      <c r="I1021" s="373"/>
      <c r="J1021" s="45"/>
      <c r="K1021" s="45"/>
    </row>
    <row r="1022">
      <c r="A1022" s="45"/>
      <c r="B1022" s="45"/>
      <c r="C1022" s="45"/>
      <c r="D1022" s="45"/>
      <c r="E1022" s="258"/>
      <c r="F1022" s="45"/>
      <c r="G1022" s="474"/>
      <c r="H1022" s="475"/>
      <c r="I1022" s="373"/>
      <c r="J1022" s="45"/>
      <c r="K1022" s="45"/>
    </row>
    <row r="1023">
      <c r="A1023" s="45"/>
      <c r="B1023" s="45"/>
      <c r="C1023" s="45"/>
      <c r="D1023" s="45"/>
      <c r="E1023" s="258"/>
      <c r="F1023" s="45"/>
      <c r="G1023" s="474"/>
      <c r="H1023" s="475"/>
      <c r="I1023" s="373"/>
      <c r="J1023" s="45"/>
      <c r="K1023" s="45"/>
    </row>
    <row r="1024">
      <c r="A1024" s="45"/>
      <c r="B1024" s="45"/>
      <c r="C1024" s="45"/>
      <c r="D1024" s="45"/>
      <c r="E1024" s="258"/>
      <c r="F1024" s="45"/>
      <c r="G1024" s="474"/>
      <c r="H1024" s="475"/>
      <c r="I1024" s="373"/>
      <c r="J1024" s="45"/>
      <c r="K1024" s="45"/>
    </row>
    <row r="1025">
      <c r="A1025" s="45"/>
      <c r="B1025" s="45"/>
      <c r="C1025" s="45"/>
      <c r="D1025" s="45"/>
      <c r="E1025" s="258"/>
      <c r="F1025" s="45"/>
      <c r="G1025" s="474"/>
      <c r="H1025" s="475"/>
      <c r="I1025" s="373"/>
      <c r="J1025" s="45"/>
      <c r="K1025" s="45"/>
    </row>
    <row r="1026">
      <c r="A1026" s="45"/>
      <c r="B1026" s="45"/>
      <c r="C1026" s="45"/>
      <c r="D1026" s="45"/>
      <c r="E1026" s="258"/>
      <c r="F1026" s="45"/>
      <c r="G1026" s="474"/>
      <c r="H1026" s="475"/>
      <c r="I1026" s="373"/>
      <c r="J1026" s="45"/>
      <c r="K1026" s="45"/>
    </row>
    <row r="1027">
      <c r="A1027" s="45"/>
      <c r="B1027" s="45"/>
      <c r="C1027" s="45"/>
      <c r="D1027" s="45"/>
      <c r="E1027" s="258"/>
      <c r="F1027" s="45"/>
      <c r="G1027" s="474"/>
      <c r="H1027" s="475"/>
      <c r="I1027" s="373"/>
      <c r="J1027" s="45"/>
      <c r="K1027" s="45"/>
    </row>
    <row r="1028">
      <c r="A1028" s="45"/>
      <c r="B1028" s="45"/>
      <c r="C1028" s="45"/>
      <c r="D1028" s="45"/>
      <c r="E1028" s="258"/>
      <c r="F1028" s="45"/>
      <c r="G1028" s="474"/>
      <c r="H1028" s="475"/>
      <c r="I1028" s="373"/>
      <c r="J1028" s="45"/>
      <c r="K1028" s="45"/>
    </row>
    <row r="1029">
      <c r="A1029" s="45"/>
      <c r="B1029" s="45"/>
      <c r="C1029" s="45"/>
      <c r="D1029" s="45"/>
      <c r="E1029" s="258"/>
      <c r="F1029" s="45"/>
      <c r="G1029" s="474"/>
      <c r="H1029" s="475"/>
      <c r="I1029" s="373"/>
      <c r="J1029" s="45"/>
      <c r="K1029" s="45"/>
    </row>
    <row r="1030">
      <c r="A1030" s="45"/>
      <c r="B1030" s="45"/>
      <c r="C1030" s="45"/>
      <c r="D1030" s="45"/>
      <c r="E1030" s="258"/>
      <c r="F1030" s="45"/>
      <c r="G1030" s="474"/>
      <c r="H1030" s="475"/>
      <c r="I1030" s="373"/>
      <c r="J1030" s="45"/>
      <c r="K1030" s="45"/>
    </row>
    <row r="1031">
      <c r="A1031" s="45"/>
      <c r="B1031" s="45"/>
      <c r="C1031" s="45"/>
      <c r="D1031" s="45"/>
      <c r="E1031" s="258"/>
      <c r="F1031" s="45"/>
      <c r="G1031" s="474"/>
      <c r="H1031" s="475"/>
      <c r="I1031" s="373"/>
      <c r="J1031" s="45"/>
      <c r="K1031" s="45"/>
    </row>
    <row r="1032">
      <c r="A1032" s="45"/>
      <c r="B1032" s="45"/>
      <c r="C1032" s="45"/>
      <c r="D1032" s="45"/>
      <c r="E1032" s="258"/>
      <c r="F1032" s="45"/>
      <c r="G1032" s="474"/>
      <c r="H1032" s="475"/>
      <c r="I1032" s="373"/>
      <c r="J1032" s="45"/>
      <c r="K1032" s="45"/>
    </row>
    <row r="1033">
      <c r="A1033" s="45"/>
      <c r="B1033" s="45"/>
      <c r="C1033" s="45"/>
      <c r="D1033" s="45"/>
      <c r="E1033" s="258"/>
      <c r="F1033" s="45"/>
      <c r="G1033" s="474"/>
      <c r="H1033" s="475"/>
      <c r="I1033" s="373"/>
      <c r="J1033" s="45"/>
      <c r="K1033" s="45"/>
    </row>
    <row r="1034">
      <c r="A1034" s="45"/>
      <c r="B1034" s="45"/>
      <c r="C1034" s="45"/>
      <c r="D1034" s="45"/>
      <c r="E1034" s="258"/>
      <c r="F1034" s="45"/>
      <c r="G1034" s="474"/>
      <c r="H1034" s="475"/>
      <c r="I1034" s="373"/>
      <c r="J1034" s="45"/>
      <c r="K1034" s="45"/>
    </row>
    <row r="1035">
      <c r="A1035" s="45"/>
      <c r="B1035" s="45"/>
      <c r="C1035" s="45"/>
      <c r="D1035" s="45"/>
      <c r="E1035" s="258"/>
      <c r="F1035" s="45"/>
      <c r="G1035" s="474"/>
      <c r="H1035" s="475"/>
      <c r="I1035" s="373"/>
      <c r="J1035" s="45"/>
      <c r="K1035" s="45"/>
    </row>
    <row r="1036">
      <c r="A1036" s="45"/>
      <c r="B1036" s="45"/>
      <c r="C1036" s="45"/>
      <c r="D1036" s="45"/>
      <c r="E1036" s="258"/>
      <c r="F1036" s="45"/>
      <c r="G1036" s="474"/>
      <c r="H1036" s="475"/>
      <c r="I1036" s="373"/>
      <c r="J1036" s="45"/>
      <c r="K1036" s="45"/>
    </row>
    <row r="1037">
      <c r="A1037" s="45"/>
      <c r="B1037" s="45"/>
      <c r="C1037" s="45"/>
      <c r="D1037" s="45"/>
      <c r="E1037" s="258"/>
      <c r="F1037" s="45"/>
      <c r="G1037" s="474"/>
      <c r="H1037" s="475"/>
      <c r="I1037" s="373"/>
      <c r="J1037" s="45"/>
      <c r="K1037" s="45"/>
    </row>
    <row r="1038">
      <c r="A1038" s="45"/>
      <c r="B1038" s="45"/>
      <c r="C1038" s="45"/>
      <c r="D1038" s="45"/>
      <c r="E1038" s="258"/>
      <c r="F1038" s="45"/>
      <c r="G1038" s="474"/>
      <c r="H1038" s="475"/>
      <c r="I1038" s="373"/>
      <c r="J1038" s="45"/>
      <c r="K1038" s="45"/>
    </row>
    <row r="1039">
      <c r="A1039" s="45"/>
      <c r="B1039" s="45"/>
      <c r="C1039" s="45"/>
      <c r="D1039" s="45"/>
      <c r="E1039" s="258"/>
      <c r="F1039" s="45"/>
      <c r="G1039" s="474"/>
      <c r="H1039" s="475"/>
      <c r="I1039" s="373"/>
      <c r="J1039" s="45"/>
      <c r="K1039" s="45"/>
    </row>
    <row r="1040">
      <c r="A1040" s="45"/>
      <c r="B1040" s="45"/>
      <c r="C1040" s="45"/>
      <c r="D1040" s="45"/>
      <c r="E1040" s="258"/>
      <c r="F1040" s="45"/>
      <c r="G1040" s="474"/>
      <c r="H1040" s="475"/>
      <c r="I1040" s="373"/>
      <c r="J1040" s="45"/>
      <c r="K1040" s="45"/>
    </row>
    <row r="1041">
      <c r="A1041" s="45"/>
      <c r="B1041" s="45"/>
      <c r="C1041" s="45"/>
      <c r="D1041" s="45"/>
      <c r="E1041" s="258"/>
      <c r="F1041" s="45"/>
      <c r="G1041" s="474"/>
      <c r="H1041" s="475"/>
      <c r="I1041" s="373"/>
      <c r="J1041" s="45"/>
      <c r="K1041" s="45"/>
    </row>
    <row r="1042">
      <c r="A1042" s="45"/>
      <c r="B1042" s="45"/>
      <c r="C1042" s="45"/>
      <c r="D1042" s="45"/>
      <c r="E1042" s="258"/>
      <c r="F1042" s="45"/>
      <c r="G1042" s="474"/>
      <c r="H1042" s="475"/>
      <c r="I1042" s="373"/>
      <c r="J1042" s="45"/>
      <c r="K1042" s="45"/>
    </row>
  </sheetData>
  <mergeCells count="33">
    <mergeCell ref="D2:D11"/>
    <mergeCell ref="D12:D27"/>
    <mergeCell ref="D45:D59"/>
    <mergeCell ref="D60:D64"/>
    <mergeCell ref="D106:D113"/>
    <mergeCell ref="D114:D126"/>
    <mergeCell ref="D127:D132"/>
    <mergeCell ref="D133:D137"/>
    <mergeCell ref="E12:E17"/>
    <mergeCell ref="E18:E22"/>
    <mergeCell ref="A2:A10"/>
    <mergeCell ref="A28:A33"/>
    <mergeCell ref="B45:B88"/>
    <mergeCell ref="B89:B104"/>
    <mergeCell ref="B106:B137"/>
    <mergeCell ref="E23:E27"/>
    <mergeCell ref="E28:E31"/>
    <mergeCell ref="D28:D35"/>
    <mergeCell ref="E32:E34"/>
    <mergeCell ref="F32:F34"/>
    <mergeCell ref="D36:D44"/>
    <mergeCell ref="E36:E38"/>
    <mergeCell ref="E39:E44"/>
    <mergeCell ref="E45:E50"/>
    <mergeCell ref="E51:E56"/>
    <mergeCell ref="E57:E59"/>
    <mergeCell ref="B2:B44"/>
    <mergeCell ref="E2:E6"/>
    <mergeCell ref="F2:F3"/>
    <mergeCell ref="F4:F6"/>
    <mergeCell ref="E8:E10"/>
    <mergeCell ref="F8:F10"/>
    <mergeCell ref="F28:F30"/>
  </mergeCells>
  <hyperlinks>
    <hyperlink r:id="rId2" ref="H2"/>
    <hyperlink r:id="rId3" ref="H36"/>
    <hyperlink r:id="rId4" ref="H45"/>
    <hyperlink r:id="rId5" ref="H62"/>
  </hyperlinks>
  <drawing r:id="rId6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38.38"/>
    <col customWidth="1" min="4" max="4" width="11.88"/>
    <col customWidth="1" min="5" max="5" width="13.13"/>
    <col customWidth="1" min="6" max="6" width="12.75"/>
    <col customWidth="1" min="7" max="7" width="16.0"/>
    <col customWidth="1" min="8" max="8" width="13.75"/>
  </cols>
  <sheetData>
    <row r="3">
      <c r="A3" s="476" t="s">
        <v>124</v>
      </c>
      <c r="B3" s="476" t="s">
        <v>887</v>
      </c>
      <c r="C3" s="477" t="s">
        <v>888</v>
      </c>
      <c r="D3" s="477" t="s">
        <v>889</v>
      </c>
      <c r="E3" s="477" t="s">
        <v>890</v>
      </c>
      <c r="F3" s="477" t="s">
        <v>891</v>
      </c>
      <c r="G3" s="477" t="s">
        <v>892</v>
      </c>
      <c r="H3" s="477" t="s">
        <v>893</v>
      </c>
      <c r="L3" s="222" t="s">
        <v>894</v>
      </c>
      <c r="M3" s="222" t="s">
        <v>895</v>
      </c>
      <c r="N3" s="222" t="s">
        <v>896</v>
      </c>
      <c r="O3" s="222" t="s">
        <v>897</v>
      </c>
    </row>
    <row r="4">
      <c r="A4" s="478" t="s">
        <v>898</v>
      </c>
      <c r="B4" s="478" t="s">
        <v>899</v>
      </c>
      <c r="C4" s="479" t="s">
        <v>900</v>
      </c>
      <c r="D4" s="480">
        <v>8.0</v>
      </c>
      <c r="E4" s="480">
        <v>8.0</v>
      </c>
      <c r="F4" s="480">
        <v>0.0</v>
      </c>
      <c r="G4" s="480">
        <v>0.0</v>
      </c>
      <c r="H4" s="481">
        <v>3.0</v>
      </c>
      <c r="K4" s="482" t="s">
        <v>898</v>
      </c>
    </row>
    <row r="5">
      <c r="A5" s="478" t="s">
        <v>898</v>
      </c>
      <c r="B5" s="478" t="s">
        <v>899</v>
      </c>
      <c r="C5" s="479" t="s">
        <v>901</v>
      </c>
      <c r="D5" s="480">
        <v>5.0</v>
      </c>
      <c r="E5" s="480">
        <v>0.0</v>
      </c>
      <c r="F5" s="480">
        <v>5.0</v>
      </c>
      <c r="G5" s="480">
        <v>0.0</v>
      </c>
      <c r="H5" s="194"/>
      <c r="K5" s="222" t="s">
        <v>239</v>
      </c>
    </row>
    <row r="6">
      <c r="A6" s="483" t="s">
        <v>898</v>
      </c>
      <c r="B6" s="483" t="s">
        <v>148</v>
      </c>
      <c r="C6" s="479" t="s">
        <v>902</v>
      </c>
      <c r="D6" s="484">
        <v>13.0</v>
      </c>
      <c r="E6" s="484">
        <v>8.0</v>
      </c>
      <c r="F6" s="484">
        <v>5.0</v>
      </c>
      <c r="G6" s="485"/>
      <c r="H6" s="463">
        <v>0.0</v>
      </c>
      <c r="K6" s="222" t="s">
        <v>208</v>
      </c>
    </row>
    <row r="7">
      <c r="A7" s="486" t="s">
        <v>239</v>
      </c>
      <c r="B7" s="486" t="s">
        <v>903</v>
      </c>
      <c r="C7" s="487" t="s">
        <v>904</v>
      </c>
      <c r="D7" s="488"/>
      <c r="E7" s="488"/>
      <c r="F7" s="488"/>
      <c r="G7" s="488"/>
      <c r="H7" s="489">
        <v>1.0</v>
      </c>
    </row>
    <row r="8">
      <c r="A8" s="486" t="s">
        <v>239</v>
      </c>
      <c r="B8" s="486" t="s">
        <v>903</v>
      </c>
      <c r="C8" s="487" t="s">
        <v>905</v>
      </c>
      <c r="D8" s="488"/>
      <c r="E8" s="488"/>
      <c r="F8" s="488"/>
      <c r="G8" s="488"/>
      <c r="H8" s="194"/>
    </row>
    <row r="9">
      <c r="A9" s="490"/>
      <c r="B9" s="490"/>
      <c r="C9" s="211"/>
      <c r="D9" s="485"/>
      <c r="E9" s="485"/>
      <c r="F9" s="485"/>
      <c r="G9" s="485"/>
      <c r="H9" s="485"/>
    </row>
    <row r="10">
      <c r="A10" s="490"/>
      <c r="B10" s="490"/>
      <c r="C10" s="211"/>
      <c r="D10" s="485"/>
      <c r="E10" s="485"/>
      <c r="F10" s="485"/>
      <c r="G10" s="485"/>
      <c r="H10" s="485"/>
    </row>
  </sheetData>
  <mergeCells count="2">
    <mergeCell ref="H4:H5"/>
    <mergeCell ref="H7:H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9.38"/>
    <col customWidth="1" min="3" max="3" width="21.13"/>
    <col customWidth="1" min="4" max="4" width="16.13"/>
    <col customWidth="1" min="5" max="5" width="23.88"/>
    <col customWidth="1" min="6" max="6" width="14.75"/>
    <col customWidth="1" min="7" max="7" width="69.5"/>
  </cols>
  <sheetData>
    <row r="1">
      <c r="A1" s="222" t="s">
        <v>906</v>
      </c>
      <c r="B1" s="222" t="s">
        <v>907</v>
      </c>
      <c r="C1" s="222" t="s">
        <v>908</v>
      </c>
      <c r="D1" s="222" t="s">
        <v>909</v>
      </c>
      <c r="E1" s="222" t="s">
        <v>910</v>
      </c>
      <c r="F1" s="222" t="s">
        <v>911</v>
      </c>
      <c r="G1" s="222" t="s">
        <v>912</v>
      </c>
    </row>
    <row r="2">
      <c r="A2" s="222" t="s">
        <v>239</v>
      </c>
      <c r="B2" s="222" t="s">
        <v>913</v>
      </c>
      <c r="C2" s="222" t="s">
        <v>914</v>
      </c>
      <c r="E2" s="222" t="s">
        <v>915</v>
      </c>
      <c r="F2" s="222" t="s">
        <v>916</v>
      </c>
      <c r="G2" s="222" t="s">
        <v>917</v>
      </c>
    </row>
    <row r="3">
      <c r="A3" s="222" t="s">
        <v>239</v>
      </c>
      <c r="B3" s="222" t="s">
        <v>913</v>
      </c>
      <c r="C3" s="222" t="s">
        <v>914</v>
      </c>
      <c r="E3" s="222" t="s">
        <v>915</v>
      </c>
      <c r="F3" s="222" t="s">
        <v>916</v>
      </c>
      <c r="G3" s="222" t="s">
        <v>918</v>
      </c>
    </row>
    <row r="4">
      <c r="A4" s="222" t="s">
        <v>128</v>
      </c>
      <c r="B4" s="222" t="s">
        <v>919</v>
      </c>
      <c r="C4" s="222" t="s">
        <v>920</v>
      </c>
      <c r="E4" s="222" t="s">
        <v>921</v>
      </c>
      <c r="F4" s="222" t="s">
        <v>922</v>
      </c>
      <c r="G4" s="222" t="s">
        <v>923</v>
      </c>
    </row>
  </sheetData>
  <autoFilter ref="$A$1:$G$4"/>
  <drawing r:id="rId1"/>
</worksheet>
</file>